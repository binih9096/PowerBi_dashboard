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classification" sheetId="3" r:id="rId1"/>
    <sheet name="Variable description" sheetId="4" r:id="rId2"/>
  </sheets>
  <calcPr calcId="145621"/>
</workbook>
</file>

<file path=xl/calcChain.xml><?xml version="1.0" encoding="utf-8"?>
<calcChain xmlns="http://schemas.openxmlformats.org/spreadsheetml/2006/main">
  <c r="C10" i="3" l="1"/>
  <c r="C9" i="3"/>
  <c r="C8" i="3"/>
  <c r="C7" i="3"/>
  <c r="C6" i="3"/>
  <c r="C76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5" i="3"/>
  <c r="C4" i="3"/>
  <c r="C3" i="3"/>
</calcChain>
</file>

<file path=xl/sharedStrings.xml><?xml version="1.0" encoding="utf-8"?>
<sst xmlns="http://schemas.openxmlformats.org/spreadsheetml/2006/main" count="3611" uniqueCount="567">
  <si>
    <t>contig_ID</t>
  </si>
  <si>
    <t>FPKM</t>
  </si>
  <si>
    <t>contig_length</t>
  </si>
  <si>
    <t>vg_ID</t>
  </si>
  <si>
    <t>vg.annoation</t>
  </si>
  <si>
    <t>vg_e.vaule</t>
  </si>
  <si>
    <t>vg_mate.scores</t>
  </si>
  <si>
    <t>vg_identy</t>
  </si>
  <si>
    <t>nt_ID</t>
  </si>
  <si>
    <t>nt_annoation</t>
  </si>
  <si>
    <t>nt_e.vaule</t>
  </si>
  <si>
    <t>nt_mate.scores</t>
  </si>
  <si>
    <t>nt_identy</t>
  </si>
  <si>
    <t>nr_ID</t>
  </si>
  <si>
    <t>nr_e.vaule</t>
  </si>
  <si>
    <t>nr_mate.scores</t>
  </si>
  <si>
    <t>nr_identy</t>
  </si>
  <si>
    <t>TR32524|c6_g1_i1</t>
  </si>
  <si>
    <t>gi|19697300|ref|NC_003452.1|</t>
  </si>
  <si>
    <t>American plum line pattern virus RNA2, complete genome</t>
  </si>
  <si>
    <t>gi|13183021|gb|AF235165.1|</t>
  </si>
  <si>
    <t>American plum line pattern virus segment RNA2, complete sequence</t>
  </si>
  <si>
    <t>gi|19697301|ref|NP_602313.1|</t>
  </si>
  <si>
    <t>NA</t>
  </si>
  <si>
    <t>TR46271|c2_g11_i1</t>
  </si>
  <si>
    <t>gi|827047348|ref|NC_027131.1|</t>
  </si>
  <si>
    <t>Grapevine roditis leaf discoloration-associated virus complete genome, isolate w4</t>
  </si>
  <si>
    <t>gi|595763750|gb|KJ013511.1|</t>
  </si>
  <si>
    <t>Banana streak CA virus, complete genome</t>
  </si>
  <si>
    <t>gi|40252064|emb|CAA64701.1|</t>
  </si>
  <si>
    <t>TR61680|c0_g7_i1</t>
  </si>
  <si>
    <t>gi|96980848|ref|NC_008034.1|</t>
  </si>
  <si>
    <t>Dracaena mottle virus, complete genome</t>
  </si>
  <si>
    <t>gi|148645289|gb|EF494181.1|</t>
  </si>
  <si>
    <t>Lucky bamboo bacilliform virus, complete genome</t>
  </si>
  <si>
    <t>gi|963884803|gb|ALT10397.1|</t>
  </si>
  <si>
    <t>TR91465|c2_g16_i1</t>
  </si>
  <si>
    <t>gi|332308951|ref|NC_015507.1|</t>
  </si>
  <si>
    <t>Banana streak IM virus, complete genome</t>
  </si>
  <si>
    <t>gi|331029468|gb|HQ593112.1|</t>
  </si>
  <si>
    <t>gi|1045832155|gb|ANV20902.1|</t>
  </si>
  <si>
    <t>TR61708|c3_g4_i1</t>
  </si>
  <si>
    <t>gi|500998680|ref|NC_015784.2|</t>
  </si>
  <si>
    <t>Grapevine vein-clearing virus, complete genome</t>
  </si>
  <si>
    <t>gi|344345639|gb|JF301669.2|</t>
  </si>
  <si>
    <t>Grapevine vein-clearing virus isolate LBC0903, complete genome</t>
  </si>
  <si>
    <t>gi|1045832147|gb|ANV20896.1|</t>
  </si>
  <si>
    <t>TR701|c0_g1_i1</t>
  </si>
  <si>
    <t>gi|9625564|ref|NC_001343.1|</t>
  </si>
  <si>
    <t>Commelina yellow mottle virus, complete genome</t>
  </si>
  <si>
    <t>gi|59047|emb|X52938.1|</t>
  </si>
  <si>
    <t>Commelina yellow mottle virus complete circular genome</t>
  </si>
  <si>
    <t>gi|558553941|gb|AHA62475.1|</t>
  </si>
  <si>
    <t>TR61708|c3_g6_i9</t>
  </si>
  <si>
    <t>gi|94972339|ref|NC_008017.1|</t>
  </si>
  <si>
    <t>Sugarcane bacilliform Mor virus, complete genome</t>
  </si>
  <si>
    <t>gi|294836|gb|M89923.1|SBVORFS</t>
  </si>
  <si>
    <t>Sugarcane bacilliform Mor virus ORF1, ORF2, and ORF3 genes, complete cds</t>
  </si>
  <si>
    <t>gi|1026944581|gb|AND76971.1|</t>
  </si>
  <si>
    <t>TR92279|c0_g2_i1</t>
  </si>
  <si>
    <t>gi|65362558|ref|NC_007003.1|</t>
  </si>
  <si>
    <t>Banana streak virus strain Acuminata Vietnam, complete genome</t>
  </si>
  <si>
    <t>gi|53830360|gb|AY750155.1|</t>
  </si>
  <si>
    <t>gi|944549038|gb|ALL98908.1|</t>
  </si>
  <si>
    <t>TR46271|c2_g5_i1</t>
  </si>
  <si>
    <t>gi|727863468|gb|KJ725346.1|</t>
  </si>
  <si>
    <t>Grapevine vein-clearing virus strain VRU, complete genome</t>
  </si>
  <si>
    <t>TR61708|c3_g4_i2</t>
  </si>
  <si>
    <t>TR61708|c3_g1_i1</t>
  </si>
  <si>
    <t>gi|18450268|ref|NC_003382.1|</t>
  </si>
  <si>
    <t>Citrus yellow mosaic virus, complete genome</t>
  </si>
  <si>
    <t>gi|113120188|gb|DQ836232.1|</t>
  </si>
  <si>
    <t>Piper yellow mottle virus from India polyprotein gene, partial cds</t>
  </si>
  <si>
    <t>gi|164664274|emb|CAJ24647.1|</t>
  </si>
  <si>
    <t>TR91465|c2_g3_i1</t>
  </si>
  <si>
    <t>gi|117670604|gb|DQ875213.1|</t>
  </si>
  <si>
    <t>Citrus yellow mosaic virus from India, complete genome</t>
  </si>
  <si>
    <t>gi|240114217|gb|ACS44676.1|</t>
  </si>
  <si>
    <t>TR92279|c0_g3_i1</t>
  </si>
  <si>
    <t>gi|586929338|ref|YP_009002585.1|</t>
  </si>
  <si>
    <t>TR45134|c0_g1_i1</t>
  </si>
  <si>
    <t>gi|14010734|ref|NC_002766.1|</t>
  </si>
  <si>
    <t>Beet chlorosis virus, complete genome</t>
  </si>
  <si>
    <t>gi|719762936|gb|KM076647.1|</t>
  </si>
  <si>
    <t>Beet western yellows virus isolate LS, complete genome</t>
  </si>
  <si>
    <t>gi|719762939|gb|AIX02799.1|</t>
  </si>
  <si>
    <t>TR63699|c0_g1_i1</t>
  </si>
  <si>
    <t>gi|50428570|ref|NC_006066.1|</t>
  </si>
  <si>
    <t>Humulus japonicus latent virus, complete genome</t>
  </si>
  <si>
    <t>gi|46276449|gb|AY500238.1|</t>
  </si>
  <si>
    <t>Humulus japonicus latent virus 3a protein and coat protein genes, complete cds</t>
  </si>
  <si>
    <t>gi|50428571|ref|YP_054424.1|</t>
  </si>
  <si>
    <t>TR61708|c2_g2_i2</t>
  </si>
  <si>
    <t>gi|998745916|ref|NC_029303.1|</t>
  </si>
  <si>
    <t>Blackberry Virus F isolate BBV-3X, complete genome</t>
  </si>
  <si>
    <t>gi|558553888|gb|KF545104.1|</t>
  </si>
  <si>
    <t>Banana streak UI virus isolate Ug5 ORF III polyprotein gene, partial cds</t>
  </si>
  <si>
    <t>gi|574588559|gb|AHG32726.1|</t>
  </si>
  <si>
    <t>TR59439|c0_g1_i1</t>
  </si>
  <si>
    <t>gi|95020638|ref|NC_008018.1|</t>
  </si>
  <si>
    <t>Banana streak virus Acuminata Yunnan, complete genome</t>
  </si>
  <si>
    <t>gi|68566423|gb|DQ092436.1|</t>
  </si>
  <si>
    <t>TR46240|c4_g1_i1</t>
  </si>
  <si>
    <t>gi|353332641|ref|NC_016084.1|</t>
  </si>
  <si>
    <t>Blueberry necrotic ring blotch virus segment RNA1, complete sequence</t>
  </si>
  <si>
    <t>gi|472825218|gb|AGI44297.1|</t>
  </si>
  <si>
    <t>TR39215|c0_g2_i1</t>
  </si>
  <si>
    <t>gi|238563974|ref|NC_012728.1|</t>
  </si>
  <si>
    <t>Sweetpotato badnavirus B, complete genome</t>
  </si>
  <si>
    <t>gi|944549029|gb|ALL98904.1|</t>
  </si>
  <si>
    <t>gi|667670671|gb|KJ806281.1|</t>
  </si>
  <si>
    <t>Camellia sinensis var. sinensis chloroplast, complete genome</t>
  </si>
  <si>
    <t>TR88903|c0_g1_i5</t>
  </si>
  <si>
    <t>gi|281398246|gb|GQ415387.1|</t>
  </si>
  <si>
    <t>Panicum streak virus isolate A_MZ_Nac1, complete genome</t>
  </si>
  <si>
    <t>gi|589823942|gb|AHL20278.1|</t>
  </si>
  <si>
    <t>TR61708|c3_g9_i2</t>
  </si>
  <si>
    <t>gi|699027147|gb|KF836892.1|</t>
  </si>
  <si>
    <t>Sweetpotato badnavirus B isolate TZ:BK59:12 hypothetical protein gene, complete cds; and polyprotein gene, partial cds</t>
  </si>
  <si>
    <t>gi|1100854184|gb|APB62760.1|</t>
  </si>
  <si>
    <t>TR75246|c3_g2_i1</t>
  </si>
  <si>
    <t>gi|113901273|gb|DQ822074.1|</t>
  </si>
  <si>
    <t>Dioscorea bacilliform virus clone B39-6, complete genome</t>
  </si>
  <si>
    <t>TR22632|c2_g2_i1</t>
  </si>
  <si>
    <t>gi|4416332|gb|AF106947.1|</t>
  </si>
  <si>
    <t>Musa ABB Group clone Musa8 cacao swollen shoot badnavirus sequence</t>
  </si>
  <si>
    <t>gi|353453394|gb|AER00538.1|</t>
  </si>
  <si>
    <t>TR22632|c2_g2_i2</t>
  </si>
  <si>
    <t>TR46271|c2_g6_i3</t>
  </si>
  <si>
    <t>gi|356467135|gb|AET09699.1|</t>
  </si>
  <si>
    <t>TR75246|c0_g2_i1</t>
  </si>
  <si>
    <t>gi|170317912|gb|EU377665.1|</t>
  </si>
  <si>
    <t>Pineapple bacilliform comosus virus clone pAant4 polyprotein gene, partial cds</t>
  </si>
  <si>
    <t>TR42646|c0_g1_i1</t>
  </si>
  <si>
    <t>gi|170317918|gb|EU377668.1|</t>
  </si>
  <si>
    <t>Pineapple bacilliform comosus virus clone pBRTIc polyprotein gene, partial cds</t>
  </si>
  <si>
    <t>TR83683|c5_g6_i1</t>
  </si>
  <si>
    <t>TR61686|c0_g2_i1</t>
  </si>
  <si>
    <t>gi|353332644|ref|YP_004901701.1|</t>
  </si>
  <si>
    <t>TR32524|c6_g2_i1</t>
  </si>
  <si>
    <t>gi|19697299|ref|NP_602312.1|</t>
  </si>
  <si>
    <t>TR91450|c3_g1_i1</t>
  </si>
  <si>
    <t>gi|353332648|ref|YP_004901704.1|</t>
  </si>
  <si>
    <t>TR91450|c2_g1_i2</t>
  </si>
  <si>
    <t>gi|472825227|gb|AGI44303.1|</t>
  </si>
  <si>
    <t>TR32524|c6_g3_i1</t>
  </si>
  <si>
    <t>gi|19697303|ref|NP_602314.1|</t>
  </si>
  <si>
    <t>TR73446|c0_g2_i1</t>
  </si>
  <si>
    <t>gi|985760143|ref|YP_009225665.1|</t>
  </si>
  <si>
    <t>TR46309|c1_g8_i3</t>
  </si>
  <si>
    <t>gi|672798774|gb|AIK01820.1|</t>
  </si>
  <si>
    <t>TR91450|c2_g1_i1</t>
  </si>
  <si>
    <t>TR67857|c0_g1_i3</t>
  </si>
  <si>
    <t>gi|6689596|emb|CAB65500.1|</t>
  </si>
  <si>
    <t>TR46309|c1_g8_i7</t>
  </si>
  <si>
    <t>TR83683|c4_g1_i1</t>
  </si>
  <si>
    <t>gi|1031915823|gb|ANG56359.1|</t>
  </si>
  <si>
    <t>TR67857|c0_g1_i2</t>
  </si>
  <si>
    <t>TR52511|c1_g1_i1</t>
  </si>
  <si>
    <t>gi|752295816|gb|AJG36439.1|</t>
  </si>
  <si>
    <t>TR75246|c6_g5_i1</t>
  </si>
  <si>
    <t>gi|198385725|gb|ACH86211.1|</t>
  </si>
  <si>
    <t>TR46248|c4_g5_i5</t>
  </si>
  <si>
    <t>gi|156739676|gb|ABU93491.1|</t>
  </si>
  <si>
    <t>TR83683|c3_g1_i1</t>
  </si>
  <si>
    <t>gi|944549027|gb|ALL98903.1|</t>
  </si>
  <si>
    <t>TR83683|c3_g3_i1</t>
  </si>
  <si>
    <t>gi|944549054|gb|ALL98916.1|</t>
  </si>
  <si>
    <t>TR73446|c0_g1_i1</t>
  </si>
  <si>
    <t>TR75257|c1_g3_i2</t>
  </si>
  <si>
    <t>gi|1002823652|gb|AMN88378.1|</t>
  </si>
  <si>
    <t>TR61708|c3_g6_i3</t>
  </si>
  <si>
    <t>gi|1100607899|gb|APB42235.1|</t>
  </si>
  <si>
    <t>TR91411|c4_g4_i1</t>
  </si>
  <si>
    <t>gi|190360813|gb|ACE76858.1|</t>
  </si>
  <si>
    <t>gi|156739673|gb|ABU93490.1|</t>
  </si>
  <si>
    <t>TR61680|c0_g10_i1</t>
  </si>
  <si>
    <t>gi|1036639489|gb|ANK58539.1|</t>
  </si>
  <si>
    <t>TR83683|c4_g1_i2</t>
  </si>
  <si>
    <t>gi|124830822|gb|ABN15089.1|</t>
  </si>
  <si>
    <t>TR22661|c2_g3_i2</t>
  </si>
  <si>
    <t>gi|807743928|ref|YP_009130663.1|</t>
  </si>
  <si>
    <t>TR91406|c2_g1_i2</t>
  </si>
  <si>
    <t>gi|440922552|gb|AGC25937.1|</t>
  </si>
  <si>
    <t>TR46271|c2_g2_i1</t>
  </si>
  <si>
    <t>gi|190360820|gb|ACE76864.1|</t>
  </si>
  <si>
    <t>TR47185|c0_g1_i1</t>
  </si>
  <si>
    <t>TR46271|c3_g1_i7</t>
  </si>
  <si>
    <t>gi|823683637|emb|CEH19731.1|</t>
  </si>
  <si>
    <t>TR46248|c4_g9_i1</t>
  </si>
  <si>
    <t>TR46248|c4_g5_i6</t>
  </si>
  <si>
    <t>TR46271|c3_g6_i4</t>
  </si>
  <si>
    <t>TR68504|c0_g1_i1</t>
  </si>
  <si>
    <t>gi|392718242|gb|AFM82588.1|</t>
  </si>
  <si>
    <t>TR91465|c2_g1_i3</t>
  </si>
  <si>
    <t>TR46271|c2_g2_i2</t>
  </si>
  <si>
    <t>gi|1100854080|gb|APB62708.1|</t>
  </si>
  <si>
    <t>TR91465|c2_g1_i12</t>
  </si>
  <si>
    <t>TR46248|c4_g5_i2</t>
  </si>
  <si>
    <t>TR46248|c4_g5_i9</t>
  </si>
  <si>
    <t>TR65603|c0_g1_i1</t>
  </si>
  <si>
    <t>gi|198385724|gb|ACH86210.1|</t>
  </si>
  <si>
    <t>TR46271|c3_g1_i3</t>
  </si>
  <si>
    <t>TR91278|c0_g2_i1</t>
  </si>
  <si>
    <t>TR75246|c5_g2_i1</t>
  </si>
  <si>
    <t>gi|182239991|gb|ACB87154.1|</t>
  </si>
  <si>
    <t>gi|1147809806|ref|YP_009345071.1|</t>
  </si>
  <si>
    <t>TR2056|c0_g1_i1</t>
  </si>
  <si>
    <t>gi|1036639485|gb|ANK58536.1|</t>
  </si>
  <si>
    <t>TR20191|c0_g1_i1</t>
  </si>
  <si>
    <t>gi|392718245|gb|AFM82591.1|</t>
  </si>
  <si>
    <t>TR46309|c1_g5_i3</t>
  </si>
  <si>
    <t>gi|1002823654|gb|AMN88380.1|</t>
  </si>
  <si>
    <t>TR52544|c0_g2_i1</t>
  </si>
  <si>
    <t>gi|1041566258|ref|YP_009259486.1|</t>
  </si>
  <si>
    <t>TR61680|c0_g14_i3</t>
  </si>
  <si>
    <t>TR41582|c1_g1_i1</t>
  </si>
  <si>
    <t>TR92429|c1_g1_i1</t>
  </si>
  <si>
    <t>TR91278|c0_g1_i3</t>
  </si>
  <si>
    <t>TR91411|c4_g5_i3</t>
  </si>
  <si>
    <t>TR46248|c0_g2_i1</t>
  </si>
  <si>
    <t>gi|672798769|gb|AIK01816.1|</t>
  </si>
  <si>
    <t>TR46271|c3_g2_i3</t>
  </si>
  <si>
    <t>TR46271|c3_g4_i1</t>
  </si>
  <si>
    <t>gi|9625567|ref|NP_039820.1|</t>
  </si>
  <si>
    <t>TR61708|c1_g1_i1</t>
  </si>
  <si>
    <t>gi|827047351|ref|YP_009140788.1|</t>
  </si>
  <si>
    <t>TR22661|c2_g5_i3</t>
  </si>
  <si>
    <t>gi|386522855|ref|YP_006273073.1|</t>
  </si>
  <si>
    <t>TR46271|c3_g6_i3</t>
  </si>
  <si>
    <t>gi|93552|pir||S11479</t>
  </si>
  <si>
    <t>TR46309|c1_g5_i2</t>
  </si>
  <si>
    <t>TR80150|c0_g1_i1</t>
  </si>
  <si>
    <t>gi|767875392|gb|KP099070.1|</t>
  </si>
  <si>
    <t>Brassica rapa subsp. chinensis isolate 015 cultivar Tai cai large subunit ribosomal RNA gene, partial sequence</t>
  </si>
  <si>
    <t>gi|1036639501|gb|ANK58548.1|</t>
  </si>
  <si>
    <t>TR61680|c0_g6_i1</t>
  </si>
  <si>
    <t>gi|1045832131|gb|ANV20884.1|</t>
  </si>
  <si>
    <t>TR61680|c0_g8_i2</t>
  </si>
  <si>
    <t>TR91278|c0_g1_i1</t>
  </si>
  <si>
    <t>TR95328|c0_g2_i2</t>
  </si>
  <si>
    <t>gi|18450271|ref|NP_569153.1|</t>
  </si>
  <si>
    <t>TR46248|c4_g2_i2</t>
  </si>
  <si>
    <t>gi|1045832135|gb|ANV20887.1|</t>
  </si>
  <si>
    <t>TR75257|c1_g4_i3</t>
  </si>
  <si>
    <t>gi|1045832123|gb|ANV20878.1|</t>
  </si>
  <si>
    <t>TR75257|c1_g4_i2</t>
  </si>
  <si>
    <t>TR46248|c4_g5_i1</t>
  </si>
  <si>
    <t>TR91465|c2_g9_i1</t>
  </si>
  <si>
    <t>TR75257|c1_g8_i3</t>
  </si>
  <si>
    <t>gi|5596673|emb|CAA64272.1|</t>
  </si>
  <si>
    <t>TR46271|c0_g2_i3</t>
  </si>
  <si>
    <t>TR46271|c3_g2_i1</t>
  </si>
  <si>
    <t>TR88903|c0_g1_i4</t>
  </si>
  <si>
    <t>gi|720072279|ref|XM_010280016.1|</t>
  </si>
  <si>
    <t>PREDICTED: Nelumbo nucifera lipoyl synthase 2, mitochondrial (LOC104612573), mRNA</t>
  </si>
  <si>
    <t>TR75257|c1_g8_i1</t>
  </si>
  <si>
    <t>TR61708|c3_g6_i13</t>
  </si>
  <si>
    <t>TR75246|c6_g5_i2</t>
  </si>
  <si>
    <t>TR61708|c3_g6_i8</t>
  </si>
  <si>
    <t>TR48410|c0_g1_i1</t>
  </si>
  <si>
    <t>TR46248|c4_g4_i2</t>
  </si>
  <si>
    <t>gi|125860394|ref|YP_001036293.1|</t>
  </si>
  <si>
    <t>TR61708|c3_g6_i7</t>
  </si>
  <si>
    <t>TR46248|c4_g4_i1</t>
  </si>
  <si>
    <t>gi|124830855|gb|ABN15091.1|</t>
  </si>
  <si>
    <t>TR91411|c2_g1_i1</t>
  </si>
  <si>
    <t>TR46271|c3_g6_i1</t>
  </si>
  <si>
    <t>gi|758344319|gb|AJO68266.1|</t>
  </si>
  <si>
    <t>TR52544|c0_g1_i1</t>
  </si>
  <si>
    <t>TR42002|c0_g3_i1</t>
  </si>
  <si>
    <t>TR46271|c2_g3_i1</t>
  </si>
  <si>
    <t>TR91411|c3_g4_i1</t>
  </si>
  <si>
    <t>TR91465|c2_g1_i9</t>
  </si>
  <si>
    <t>TR85751|c0_g1_i1</t>
  </si>
  <si>
    <t>TR61708|c3_g6_i11</t>
  </si>
  <si>
    <t>TR61708|c3_g8_i1</t>
  </si>
  <si>
    <t>TR83683|c5_g5_i2</t>
  </si>
  <si>
    <t>TR61680|c1_g1_i1</t>
  </si>
  <si>
    <t>TR45179|c0_g1_i1</t>
  </si>
  <si>
    <t>gi|440922554|gb|AGC25938.1|</t>
  </si>
  <si>
    <t>TR46309|c1_g8_i9</t>
  </si>
  <si>
    <t>TR46309|c1_g13_i1</t>
  </si>
  <si>
    <t>TR19936|c1_g1_i1</t>
  </si>
  <si>
    <t>TR46271|c0_g3_i1</t>
  </si>
  <si>
    <t>gi|164664306|emb|CAJ24704.1|</t>
  </si>
  <si>
    <t>TR91278|c0_g4_i1</t>
  </si>
  <si>
    <t>gi|56790007|gb|AAW30012.1|</t>
  </si>
  <si>
    <t>TR46309|c1_g6_i1</t>
  </si>
  <si>
    <t>TR73163|c1_g1_i1</t>
  </si>
  <si>
    <t>TR86536|c0_g1_i1</t>
  </si>
  <si>
    <t>TR46271|c0_g1_i1</t>
  </si>
  <si>
    <t>TR46271|c3_g5_i2</t>
  </si>
  <si>
    <t>TR50363|c0_g1_i1</t>
  </si>
  <si>
    <t>TR22632|c2_g5_i1</t>
  </si>
  <si>
    <t>gi|544395672|ref|YP_008567619.1|</t>
  </si>
  <si>
    <t>TR91465|c2_g4_i1</t>
  </si>
  <si>
    <t>gi|794005676|gb|AKA45796.1|</t>
  </si>
  <si>
    <t>TR22661|c2_g10_i1</t>
  </si>
  <si>
    <t>gi|794005677|gb|AKA45797.1|</t>
  </si>
  <si>
    <t>gi|992287599|ref|YP_009113237.2|</t>
  </si>
  <si>
    <t>TR42374|c0_g1_i1</t>
  </si>
  <si>
    <t>gi|1043645180|gb|ANN85846.2|</t>
  </si>
  <si>
    <t>TR19331|c0_g1_i1</t>
  </si>
  <si>
    <t>TR22632|c3_g1_i4</t>
  </si>
  <si>
    <t>TR46248|c4_g5_i10</t>
  </si>
  <si>
    <t>TR15627|c0_g1_i1</t>
  </si>
  <si>
    <t>TR58903|c0_g1_i1</t>
  </si>
  <si>
    <t>gi|1045832143|gb|ANV20893.1|</t>
  </si>
  <si>
    <t>TR22661|c2_g2_i1</t>
  </si>
  <si>
    <t>gi|672798772|gb|AIK01818.1|</t>
  </si>
  <si>
    <t>TR67647|c0_g1_i1</t>
  </si>
  <si>
    <t>TR61680|c0_g13_i1</t>
  </si>
  <si>
    <t>TR12812|c0_g1_i1</t>
  </si>
  <si>
    <t>TR47745|c0_g1_i1</t>
  </si>
  <si>
    <t>TR88903|c0_g1_i1</t>
  </si>
  <si>
    <t>TR88903|c0_g1_i2</t>
  </si>
  <si>
    <t>TR85195|c0_g2_i1</t>
  </si>
  <si>
    <t>gi|39653359|gb|AAR29345.1|</t>
  </si>
  <si>
    <t>TR17433|c0_g1_i1</t>
  </si>
  <si>
    <t>TR91411|c0_g1_i1</t>
  </si>
  <si>
    <t>gi|672798779|gb|AIK01824.1|</t>
  </si>
  <si>
    <t>TR75257|c1_g13_i1</t>
  </si>
  <si>
    <t>TR75257|c1_g11_i2</t>
  </si>
  <si>
    <t>gi|27228719|ref|NP_758806.1|</t>
  </si>
  <si>
    <t>TR16377|c0_g1_i1</t>
  </si>
  <si>
    <t>TR88461|c0_g1_i1</t>
  </si>
  <si>
    <t>TR42002|c0_g2_i1</t>
  </si>
  <si>
    <t>TR46309|c1_g5_i5</t>
  </si>
  <si>
    <t>TR61680|c0_g8_i5</t>
  </si>
  <si>
    <t>gi|386522854|ref|YP_006273075.1|</t>
  </si>
  <si>
    <t>TR70683|c0_g2_i1</t>
  </si>
  <si>
    <t>TR5258|c0_g1_i1</t>
  </si>
  <si>
    <t>gi|392718315|gb|AFM82629.1|</t>
  </si>
  <si>
    <t>TR19936|c1_g3_i1</t>
  </si>
  <si>
    <t>TR10369|c0_g1_i1</t>
  </si>
  <si>
    <t>TR58500|c0_g1_i1</t>
  </si>
  <si>
    <t>gi|1061432295|gb|AOI28216.1|</t>
  </si>
  <si>
    <t>TR22632|c2_g1_i1</t>
  </si>
  <si>
    <t>TR46271|c0_g2_i1</t>
  </si>
  <si>
    <t>gi|5596669|emb|CAA64269.1|</t>
  </si>
  <si>
    <t>TR22632|c1_g1_i1</t>
  </si>
  <si>
    <t>TR29331|c0_g1_i1</t>
  </si>
  <si>
    <t>gi|1026944585|gb|AND76973.1|</t>
  </si>
  <si>
    <t>TR42002|c0_g1_i1</t>
  </si>
  <si>
    <t>TR75246|c3_g1_i1</t>
  </si>
  <si>
    <t>gi|794005678|gb|AKA45798.1|</t>
  </si>
  <si>
    <t>TR36166|c1_g1_i1</t>
  </si>
  <si>
    <t>gi|823683634|emb|CEH19729.1|</t>
  </si>
  <si>
    <t>TR91465|c2_g19_i1</t>
  </si>
  <si>
    <t>TR28238|c0_g2_i1</t>
  </si>
  <si>
    <t>TR46271|c2_g6_i1</t>
  </si>
  <si>
    <t>TR84610|c0_g1_i1</t>
  </si>
  <si>
    <t>TR84610|c0_g2_i1</t>
  </si>
  <si>
    <t>TR21150|c0_g1_i1</t>
  </si>
  <si>
    <t>gi|146762541|gb|ABQ45368.1|</t>
  </si>
  <si>
    <t>TR83683|c5_g2_i1</t>
  </si>
  <si>
    <t>gi|392718455|gb|AFM82699.1|</t>
  </si>
  <si>
    <t>TR85223|c0_g1_i1</t>
  </si>
  <si>
    <t>gi|421976082|gb|AFX73020.1|</t>
  </si>
  <si>
    <t>TR59191|c0_g1_i1</t>
  </si>
  <si>
    <t>gi|983212476|gb|AMB26926.1|</t>
  </si>
  <si>
    <t>TR69969|c0_g1_i1</t>
  </si>
  <si>
    <t>gi|240114225|gb|ACS44680.1|</t>
  </si>
  <si>
    <t>TR31663|c1_g1_i1</t>
  </si>
  <si>
    <t>TR4721|c0_g1_i1</t>
  </si>
  <si>
    <t>TR61708|c3_g6_i14</t>
  </si>
  <si>
    <t>TR44823|c0_g1_i1</t>
  </si>
  <si>
    <t>gi|169303565|ref|YP_001715620.1|</t>
  </si>
  <si>
    <t>TR61708|c3_g6_i12</t>
  </si>
  <si>
    <t>TR31355|c0_g1_i1</t>
  </si>
  <si>
    <t>TR91129|c0_g1_i1</t>
  </si>
  <si>
    <t>TR46271|c2_g7_i2</t>
  </si>
  <si>
    <t>gi|336125401|ref|YP_004581512.1|</t>
  </si>
  <si>
    <t>TR73051|c0_g1_i1</t>
  </si>
  <si>
    <t>TR48410|c0_g6_i1</t>
  </si>
  <si>
    <t>gi|392580589|gb|AFM78504.1|</t>
  </si>
  <si>
    <t>TR24383|c0_g3_i1</t>
  </si>
  <si>
    <t>TR95328|c0_g4_i1</t>
  </si>
  <si>
    <t>TR22632|c0_g2_i1</t>
  </si>
  <si>
    <t>TR22632|c3_g2_i1</t>
  </si>
  <si>
    <t>gi|1061432298|gb|AOI28218.1|</t>
  </si>
  <si>
    <t>TR46248|c4_g6_i1</t>
  </si>
  <si>
    <t>TR65458|c0_g1_i1</t>
  </si>
  <si>
    <t>gi|944549035|gb|ALL98907.1|</t>
  </si>
  <si>
    <t>TR68836|c0_g2_i1</t>
  </si>
  <si>
    <t>TR386|c0_g1_i1</t>
  </si>
  <si>
    <t>TR95903|c0_g1_i1</t>
  </si>
  <si>
    <t>TR66654|c1_g1_i1</t>
  </si>
  <si>
    <t>TR75257|c1_g2_i1</t>
  </si>
  <si>
    <t>TR36166|c1_g6_i1</t>
  </si>
  <si>
    <t>gi|381144388|gb|AFF58897.1|</t>
  </si>
  <si>
    <t>TR55952|c0_g1_i1</t>
  </si>
  <si>
    <t>TR26156|c0_g1_i1</t>
  </si>
  <si>
    <t>TR73163|c0_g1_i1</t>
  </si>
  <si>
    <t>TR31663|c0_g1_i1</t>
  </si>
  <si>
    <t>TR24383|c0_g2_i1</t>
  </si>
  <si>
    <t xml:space="preserve">putative polymerase p2 </t>
  </si>
  <si>
    <t xml:space="preserve">polyprotein, partial </t>
  </si>
  <si>
    <t xml:space="preserve">ORFIII polyprotein, partial </t>
  </si>
  <si>
    <t xml:space="preserve">ORF3 protein </t>
  </si>
  <si>
    <t xml:space="preserve">ORF III polyprotein, partial </t>
  </si>
  <si>
    <t xml:space="preserve">ORF3 protein, partial </t>
  </si>
  <si>
    <t xml:space="preserve">polyprotein </t>
  </si>
  <si>
    <t xml:space="preserve">aphid transmission P5 protein </t>
  </si>
  <si>
    <t xml:space="preserve">3a protein </t>
  </si>
  <si>
    <t xml:space="preserve">ORF3, partial </t>
  </si>
  <si>
    <t xml:space="preserve">methyltransferase helicase </t>
  </si>
  <si>
    <t xml:space="preserve">ORF1 </t>
  </si>
  <si>
    <t xml:space="preserve">unnamed protein product </t>
  </si>
  <si>
    <t xml:space="preserve">hypothetical protein </t>
  </si>
  <si>
    <t xml:space="preserve">unnamed protein product, partial </t>
  </si>
  <si>
    <t xml:space="preserve">C2, partial </t>
  </si>
  <si>
    <t xml:space="preserve">movement protein, partial </t>
  </si>
  <si>
    <t xml:space="preserve">ORF III </t>
  </si>
  <si>
    <t xml:space="preserve">putative coat protein, partial </t>
  </si>
  <si>
    <t xml:space="preserve">polymerase </t>
  </si>
  <si>
    <t xml:space="preserve">putative viral replicase p1 </t>
  </si>
  <si>
    <t xml:space="preserve">p24 </t>
  </si>
  <si>
    <t xml:space="preserve">movement protein </t>
  </si>
  <si>
    <t xml:space="preserve">putative movement protein 3a </t>
  </si>
  <si>
    <t xml:space="preserve">putative RNA-dependent RNA polymerase </t>
  </si>
  <si>
    <t xml:space="preserve">ORF3 </t>
  </si>
  <si>
    <t xml:space="preserve">BC1 protein </t>
  </si>
  <si>
    <t xml:space="preserve">protease, partial </t>
  </si>
  <si>
    <t xml:space="preserve">unknown </t>
  </si>
  <si>
    <t xml:space="preserve">hypothetical protein, partial </t>
  </si>
  <si>
    <t xml:space="preserve">coat protein </t>
  </si>
  <si>
    <t xml:space="preserve">putative movement protein, partial </t>
  </si>
  <si>
    <t xml:space="preserve">putative protease </t>
  </si>
  <si>
    <t xml:space="preserve">ORF3a, partial </t>
  </si>
  <si>
    <t xml:space="preserve">hypothetical Rep protein </t>
  </si>
  <si>
    <t>American plum line pattern virus</t>
  </si>
  <si>
    <t>Dioscorea bacilliform virus</t>
  </si>
  <si>
    <t>Dioscorea bacilliform RT virus</t>
  </si>
  <si>
    <t>Hibiscus bacilliform virus GD1</t>
  </si>
  <si>
    <t>Humulus japonicus latent virus</t>
  </si>
  <si>
    <t>Citrus chlorotic dwarf associated virus</t>
  </si>
  <si>
    <t>Citrus yellow mosaic virus</t>
  </si>
  <si>
    <t>Panax notoginseng virus A</t>
  </si>
  <si>
    <t>Coccinia mosaic Tamil Nadu virus</t>
  </si>
  <si>
    <t>Commelina yellow mottle virus</t>
  </si>
  <si>
    <t>Dioscorea bacilliform AL virus</t>
  </si>
  <si>
    <t>nr.annoation_protein</t>
  </si>
  <si>
    <t>nr.annoation_virus_species</t>
  </si>
  <si>
    <t>circular genome protein 3</t>
  </si>
  <si>
    <t>Dioscorea rotundata virus</t>
  </si>
  <si>
    <t>Log2(FPKM)</t>
  </si>
  <si>
    <t>plants</t>
  </si>
  <si>
    <t>Host/isolation-from</t>
  </si>
  <si>
    <t>Family</t>
  </si>
  <si>
    <t>Genus</t>
  </si>
  <si>
    <t>Unassigned</t>
  </si>
  <si>
    <t>Bromoviridae</t>
  </si>
  <si>
    <t>Ilarvirus</t>
  </si>
  <si>
    <t>Caulimoviridae</t>
  </si>
  <si>
    <t>Badnavirus</t>
  </si>
  <si>
    <t>Geminiviridae</t>
  </si>
  <si>
    <t>Becurtovirus</t>
  </si>
  <si>
    <t>Luteoviridae</t>
  </si>
  <si>
    <t>Polerovirus</t>
  </si>
  <si>
    <t>Blunervirus</t>
  </si>
  <si>
    <t>Caulimoviridae?</t>
  </si>
  <si>
    <t>Variable</t>
  </si>
  <si>
    <t>Description</t>
  </si>
  <si>
    <t>Contig identity number in Trinity assembly</t>
  </si>
  <si>
    <t>Fragments Per Kilobase Million</t>
  </si>
  <si>
    <t>LOG 2 value of FPKM</t>
  </si>
  <si>
    <t>The length of contig</t>
  </si>
  <si>
    <t>The ID of annotated virus</t>
  </si>
  <si>
    <t>the name of annotated virus</t>
  </si>
  <si>
    <r>
      <rPr>
        <i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-value of homologous alignment in BLAST analysis</t>
    </r>
  </si>
  <si>
    <t>Bit score of homologous alignment in BLAST analysis</t>
  </si>
  <si>
    <t>Percentage of identical matches in BLAST analysis</t>
  </si>
  <si>
    <t>the information of annotated nt record</t>
  </si>
  <si>
    <t>The ID of best hit in nucleotide collection (nt) database</t>
  </si>
  <si>
    <t>The ID of best hit in non-redundant protein sequence (nr) database</t>
  </si>
  <si>
    <t>the protein information of annotated nr record</t>
  </si>
  <si>
    <t>the species information of annotated nr record</t>
  </si>
  <si>
    <t>The host of annotated virus or the source of virus siolated from</t>
  </si>
  <si>
    <t>The assigned family according to latest informtion released by ICTV</t>
  </si>
  <si>
    <t>The assigned genus according to latest informtion released by ICTV</t>
  </si>
  <si>
    <t>Sc0004964</t>
  </si>
  <si>
    <t>xpSc0056510</t>
  </si>
  <si>
    <t>xpSc0057394</t>
  </si>
  <si>
    <t>Sc0000067</t>
  </si>
  <si>
    <t>Sc0000024</t>
  </si>
  <si>
    <t>Sc0002108</t>
  </si>
  <si>
    <t>Sc0000152</t>
  </si>
  <si>
    <t>Sc0002155</t>
  </si>
  <si>
    <t>Sc0002021</t>
  </si>
  <si>
    <t>xfSc0001187</t>
  </si>
  <si>
    <t>xpSc0053244</t>
  </si>
  <si>
    <t>Sc0005294</t>
  </si>
  <si>
    <t>Sc0000008</t>
  </si>
  <si>
    <t>xfSc0000238</t>
  </si>
  <si>
    <t>Sc0000109</t>
  </si>
  <si>
    <t>xfSc0003936</t>
  </si>
  <si>
    <t>Sc0000743</t>
  </si>
  <si>
    <t>Sc0003583</t>
  </si>
  <si>
    <t>Sc0002948</t>
  </si>
  <si>
    <t>xfSc0000258</t>
  </si>
  <si>
    <t>Sc0001142</t>
  </si>
  <si>
    <t>xpSc0055876</t>
  </si>
  <si>
    <t>Sc0004657</t>
  </si>
  <si>
    <t>Sc0002332</t>
  </si>
  <si>
    <t>Sc0000741</t>
  </si>
  <si>
    <t>Sc0000236</t>
  </si>
  <si>
    <t>xpSc0055050</t>
  </si>
  <si>
    <t>Sc0002802</t>
  </si>
  <si>
    <t>Sc0000448</t>
  </si>
  <si>
    <t>xpSc0054637</t>
  </si>
  <si>
    <t>Sc0001452</t>
  </si>
  <si>
    <t>Sc0001227</t>
  </si>
  <si>
    <t>Sc0000077</t>
  </si>
  <si>
    <t>Sc0000301</t>
  </si>
  <si>
    <t>Sc0002602</t>
  </si>
  <si>
    <t>xpSc0054042</t>
  </si>
  <si>
    <t>Sc0002834</t>
  </si>
  <si>
    <t>xfSc0001085</t>
  </si>
  <si>
    <t>Sc0000215</t>
  </si>
  <si>
    <t>Sc0001034</t>
  </si>
  <si>
    <t>Sc0000497</t>
  </si>
  <si>
    <t>xfSc0022798</t>
  </si>
  <si>
    <t>xpSc0061722</t>
  </si>
  <si>
    <t>Sc0002823</t>
  </si>
  <si>
    <t>xfSc0035086</t>
  </si>
  <si>
    <t>Sc0006528</t>
  </si>
  <si>
    <t>xfSc0003185</t>
  </si>
  <si>
    <t>Sc0002350</t>
  </si>
  <si>
    <t>xfSc0003612</t>
  </si>
  <si>
    <t>xpSc0053568</t>
  </si>
  <si>
    <t>Sc0000707</t>
  </si>
  <si>
    <t>Sc0005054</t>
  </si>
  <si>
    <t>xfSc0001535</t>
  </si>
  <si>
    <t>xpSc0053212</t>
  </si>
  <si>
    <t>Tea_genome_ID</t>
  </si>
  <si>
    <t>Tea_e.vaule</t>
  </si>
  <si>
    <t>Tea_identy</t>
  </si>
  <si>
    <t>The ID of best hit in assemblyed contigs in tea genome database</t>
  </si>
  <si>
    <t>Supplementary Material 3.  The information of contigs annotated as plant virus homologous sequence</t>
  </si>
  <si>
    <t>Supplemental material 3.  The information of contigs annotated as virus homologous sequence</t>
  </si>
  <si>
    <t>banana streak UI virus</t>
  </si>
  <si>
    <t>banana streak virus</t>
  </si>
  <si>
    <t>beet curly top Iran virus</t>
  </si>
  <si>
    <t>beet western yellows virus</t>
  </si>
  <si>
    <t>blueberry necrotic ring blotch virus</t>
  </si>
  <si>
    <t>cacao mild mosaic virus</t>
  </si>
  <si>
    <t>cacao swollen shoot CD virus</t>
  </si>
  <si>
    <t>cacao swollen shoot virus</t>
  </si>
  <si>
    <t>fig badnavirus 1</t>
  </si>
  <si>
    <t>fowl aviadenovirus 1</t>
  </si>
  <si>
    <t>grapevine chrysovirus</t>
  </si>
  <si>
    <t>grapevine roditis leaf discoloration-associated virus</t>
  </si>
  <si>
    <t>maize associated totivirus</t>
  </si>
  <si>
    <t>maize-associated totivirus 2</t>
  </si>
  <si>
    <t>mulberry badnavirus 1</t>
  </si>
  <si>
    <t>piper DNA virus 1</t>
  </si>
  <si>
    <t>piper DNA virus 2</t>
  </si>
  <si>
    <t>piper yellow mottle virus</t>
  </si>
  <si>
    <t>sugarcane bacilliform virus</t>
  </si>
  <si>
    <t>sweet potato badnavirus A</t>
  </si>
  <si>
    <t>sweet potato badnavirus B</t>
  </si>
  <si>
    <t>taro bacilliform CH virus</t>
  </si>
  <si>
    <t>taro bacilliform virus</t>
  </si>
  <si>
    <t>watermelon chlorotic stunt virus-[SD]</t>
  </si>
  <si>
    <t>nr.annoation_virus_name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</si>
</sst>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 applyFill="1"/>
    <xf numFmtId="11" fontId="0" fillId="0" borderId="0" xfId="0" applyNumberFormat="1" applyFont="1" applyFill="1"/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/>
    <xf numFmtId="0" fontId="3" fillId="3" borderId="0" xfId="0" applyFont="1" applyFill="1"/>
    <xf numFmtId="11" fontId="0" fillId="0" borderId="0" xfId="0" applyNumberFormat="1"/>
    <xf numFmtId="0" fontId="3" fillId="0" borderId="0" xfId="0" applyFont="1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8"/>
  <sheetViews>
    <sheetView tabSelected="1" topLeftCell="M1" workbookViewId="0">
      <selection activeCell="Q10" sqref="Q10"/>
    </sheetView>
  </sheetViews>
  <sheetFormatPr defaultRowHeight="15" x14ac:dyDescent="0.25"/>
  <cols>
    <col min="1" max="1" width="17.7109375" customWidth="1"/>
    <col min="2" max="2" width="8.7109375" customWidth="1"/>
    <col min="3" max="3" width="13.42578125" customWidth="1"/>
    <col min="4" max="4" width="14.5703125" customWidth="1"/>
    <col min="15" max="15" width="32.7109375" customWidth="1"/>
    <col min="16" max="16" width="32" customWidth="1"/>
    <col min="17" max="17" width="55.140625" customWidth="1"/>
    <col min="21" max="21" width="17.140625" customWidth="1"/>
    <col min="22" max="22" width="11.7109375" customWidth="1"/>
    <col min="23" max="23" width="11.5703125" customWidth="1"/>
    <col min="24" max="24" width="20" customWidth="1"/>
    <col min="25" max="25" width="16.140625" style="2" customWidth="1"/>
    <col min="26" max="26" width="20" style="2" customWidth="1"/>
  </cols>
  <sheetData>
    <row r="1" spans="1:26" ht="27.75" customHeight="1" x14ac:dyDescent="0.25">
      <c r="A1" s="10" t="s">
        <v>540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26" x14ac:dyDescent="0.25">
      <c r="A2" s="7" t="s">
        <v>0</v>
      </c>
      <c r="B2" s="7" t="s">
        <v>1</v>
      </c>
      <c r="C2" s="7" t="s">
        <v>447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443</v>
      </c>
      <c r="Q2" s="7" t="s">
        <v>566</v>
      </c>
      <c r="R2" s="7" t="s">
        <v>14</v>
      </c>
      <c r="S2" s="7" t="s">
        <v>15</v>
      </c>
      <c r="T2" s="7" t="s">
        <v>16</v>
      </c>
      <c r="U2" s="7" t="s">
        <v>536</v>
      </c>
      <c r="V2" s="7" t="s">
        <v>537</v>
      </c>
      <c r="W2" s="7" t="s">
        <v>538</v>
      </c>
      <c r="X2" s="7" t="s">
        <v>449</v>
      </c>
      <c r="Y2" s="7" t="s">
        <v>450</v>
      </c>
      <c r="Z2" s="7" t="s">
        <v>451</v>
      </c>
    </row>
    <row r="3" spans="1:26" s="1" customFormat="1" x14ac:dyDescent="0.25">
      <c r="A3" s="3" t="s">
        <v>139</v>
      </c>
      <c r="B3" s="3">
        <v>87022.080000000002</v>
      </c>
      <c r="C3" s="3">
        <f t="shared" ref="C3:C66" si="0">LOG(B3,2)</f>
        <v>16.409093880107761</v>
      </c>
      <c r="D3" s="3">
        <v>3361</v>
      </c>
      <c r="E3" s="3" t="s">
        <v>23</v>
      </c>
      <c r="F3" s="3" t="s">
        <v>23</v>
      </c>
      <c r="G3" s="3" t="s">
        <v>23</v>
      </c>
      <c r="H3" s="3" t="s">
        <v>23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140</v>
      </c>
      <c r="P3" s="3" t="s">
        <v>417</v>
      </c>
      <c r="Q3" s="3" t="s">
        <v>432</v>
      </c>
      <c r="R3" s="3">
        <v>0</v>
      </c>
      <c r="S3" s="3">
        <v>771</v>
      </c>
      <c r="T3" s="3">
        <v>41.81</v>
      </c>
      <c r="U3"/>
      <c r="V3"/>
      <c r="W3"/>
      <c r="X3" s="3" t="s">
        <v>448</v>
      </c>
      <c r="Y3" s="3" t="s">
        <v>453</v>
      </c>
      <c r="Z3" s="3" t="s">
        <v>454</v>
      </c>
    </row>
    <row r="4" spans="1:26" s="1" customFormat="1" x14ac:dyDescent="0.25">
      <c r="A4" s="3" t="s">
        <v>17</v>
      </c>
      <c r="B4" s="3">
        <v>55141.11</v>
      </c>
      <c r="C4" s="3">
        <f t="shared" si="0"/>
        <v>15.750840688888433</v>
      </c>
      <c r="D4" s="3">
        <v>2344</v>
      </c>
      <c r="E4" s="3" t="s">
        <v>18</v>
      </c>
      <c r="F4" s="3" t="s">
        <v>19</v>
      </c>
      <c r="G4" s="4">
        <v>9.0000000000000003E-19</v>
      </c>
      <c r="H4" s="3">
        <v>99</v>
      </c>
      <c r="I4" s="3">
        <v>90.67</v>
      </c>
      <c r="J4" s="3" t="s">
        <v>20</v>
      </c>
      <c r="K4" s="3" t="s">
        <v>21</v>
      </c>
      <c r="L4" s="4">
        <v>2.9999999999999999E-16</v>
      </c>
      <c r="M4" s="3">
        <v>99</v>
      </c>
      <c r="N4" s="3">
        <v>90.67</v>
      </c>
      <c r="O4" s="3" t="s">
        <v>22</v>
      </c>
      <c r="P4" s="3" t="s">
        <v>397</v>
      </c>
      <c r="Q4" s="3" t="s">
        <v>432</v>
      </c>
      <c r="R4" s="4">
        <v>1E-166</v>
      </c>
      <c r="S4" s="3">
        <v>513</v>
      </c>
      <c r="T4" s="3">
        <v>53.62</v>
      </c>
      <c r="U4"/>
      <c r="V4"/>
      <c r="W4"/>
      <c r="X4" s="3" t="s">
        <v>448</v>
      </c>
      <c r="Y4" s="3" t="s">
        <v>453</v>
      </c>
      <c r="Z4" s="3" t="s">
        <v>454</v>
      </c>
    </row>
    <row r="5" spans="1:26" s="1" customFormat="1" x14ac:dyDescent="0.25">
      <c r="A5" s="3" t="s">
        <v>145</v>
      </c>
      <c r="B5" s="3">
        <v>101227.57</v>
      </c>
      <c r="C5" s="3">
        <f t="shared" si="0"/>
        <v>16.62724274554887</v>
      </c>
      <c r="D5" s="3">
        <v>2136</v>
      </c>
      <c r="E5" s="3" t="s">
        <v>23</v>
      </c>
      <c r="F5" s="3" t="s">
        <v>23</v>
      </c>
      <c r="G5" s="3" t="s">
        <v>23</v>
      </c>
      <c r="H5" s="3" t="s">
        <v>23</v>
      </c>
      <c r="I5" s="3" t="s">
        <v>23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146</v>
      </c>
      <c r="P5" s="3" t="s">
        <v>420</v>
      </c>
      <c r="Q5" s="3" t="s">
        <v>432</v>
      </c>
      <c r="R5" s="4">
        <v>1E-26</v>
      </c>
      <c r="S5" s="3">
        <v>122</v>
      </c>
      <c r="T5" s="3">
        <v>31.98</v>
      </c>
      <c r="U5"/>
      <c r="V5"/>
      <c r="W5"/>
      <c r="X5" s="3" t="s">
        <v>448</v>
      </c>
      <c r="Y5" s="3" t="s">
        <v>453</v>
      </c>
      <c r="Z5" s="3" t="s">
        <v>454</v>
      </c>
    </row>
    <row r="6" spans="1:26" s="1" customFormat="1" x14ac:dyDescent="0.25">
      <c r="A6" s="3" t="s">
        <v>47</v>
      </c>
      <c r="B6" s="3">
        <v>2</v>
      </c>
      <c r="C6" s="3">
        <f t="shared" si="0"/>
        <v>1</v>
      </c>
      <c r="D6" s="3">
        <v>379</v>
      </c>
      <c r="E6" s="3" t="s">
        <v>48</v>
      </c>
      <c r="F6" s="3" t="s">
        <v>49</v>
      </c>
      <c r="G6" s="4">
        <v>2.0000000000000001E-27</v>
      </c>
      <c r="H6" s="3">
        <v>124</v>
      </c>
      <c r="I6" s="3">
        <v>83.58</v>
      </c>
      <c r="J6" s="3" t="s">
        <v>50</v>
      </c>
      <c r="K6" s="3" t="s">
        <v>51</v>
      </c>
      <c r="L6" s="4">
        <v>8.0000000000000003E-25</v>
      </c>
      <c r="M6" s="3">
        <v>124</v>
      </c>
      <c r="N6" s="3">
        <v>83.58</v>
      </c>
      <c r="O6" s="3" t="s">
        <v>52</v>
      </c>
      <c r="P6" s="3" t="s">
        <v>401</v>
      </c>
      <c r="Q6" s="3" t="s">
        <v>542</v>
      </c>
      <c r="R6" s="4">
        <v>2.0000000000000002E-30</v>
      </c>
      <c r="S6" s="3">
        <v>123</v>
      </c>
      <c r="T6" s="3">
        <v>75.760000000000005</v>
      </c>
      <c r="U6" t="s">
        <v>483</v>
      </c>
      <c r="V6" s="8">
        <v>9.9999999999999999E-56</v>
      </c>
      <c r="W6">
        <v>89.27</v>
      </c>
      <c r="X6" s="3" t="s">
        <v>448</v>
      </c>
      <c r="Y6" s="3" t="s">
        <v>455</v>
      </c>
      <c r="Z6" s="3" t="s">
        <v>456</v>
      </c>
    </row>
    <row r="7" spans="1:26" s="1" customFormat="1" x14ac:dyDescent="0.25">
      <c r="A7" s="3" t="s">
        <v>392</v>
      </c>
      <c r="B7" s="3">
        <v>2</v>
      </c>
      <c r="C7" s="3">
        <f t="shared" si="0"/>
        <v>1</v>
      </c>
      <c r="D7" s="3">
        <v>238</v>
      </c>
      <c r="E7" s="3" t="s">
        <v>23</v>
      </c>
      <c r="F7" s="3" t="s">
        <v>23</v>
      </c>
      <c r="G7" s="3" t="s">
        <v>23</v>
      </c>
      <c r="H7" s="3" t="s">
        <v>23</v>
      </c>
      <c r="I7" s="3" t="s">
        <v>23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52</v>
      </c>
      <c r="P7" s="3" t="s">
        <v>401</v>
      </c>
      <c r="Q7" s="3" t="s">
        <v>542</v>
      </c>
      <c r="R7" s="4">
        <v>2.9999999999999998E-18</v>
      </c>
      <c r="S7" s="3">
        <v>88.2</v>
      </c>
      <c r="T7" s="3">
        <v>88.37</v>
      </c>
      <c r="U7" t="s">
        <v>514</v>
      </c>
      <c r="V7" s="8">
        <v>3.0000000000000002E-53</v>
      </c>
      <c r="W7">
        <v>96.15</v>
      </c>
      <c r="X7" s="3" t="s">
        <v>448</v>
      </c>
      <c r="Y7" s="3" t="s">
        <v>455</v>
      </c>
      <c r="Z7" s="3" t="s">
        <v>456</v>
      </c>
    </row>
    <row r="8" spans="1:26" s="1" customFormat="1" x14ac:dyDescent="0.25">
      <c r="A8" s="3" t="s">
        <v>30</v>
      </c>
      <c r="B8" s="3">
        <v>11</v>
      </c>
      <c r="C8" s="3">
        <f t="shared" si="0"/>
        <v>3.4594316186372978</v>
      </c>
      <c r="D8" s="3">
        <v>523</v>
      </c>
      <c r="E8" s="3" t="s">
        <v>31</v>
      </c>
      <c r="F8" s="3" t="s">
        <v>32</v>
      </c>
      <c r="G8" s="4">
        <v>2.0000000000000002E-15</v>
      </c>
      <c r="H8" s="3">
        <v>86.1</v>
      </c>
      <c r="I8" s="3">
        <v>87.84</v>
      </c>
      <c r="J8" s="3" t="s">
        <v>33</v>
      </c>
      <c r="K8" s="3" t="s">
        <v>34</v>
      </c>
      <c r="L8" s="4">
        <v>5.9999999999999997E-13</v>
      </c>
      <c r="M8" s="3">
        <v>86.1</v>
      </c>
      <c r="N8" s="3">
        <v>87.84</v>
      </c>
      <c r="O8" s="3" t="s">
        <v>35</v>
      </c>
      <c r="P8" s="3" t="s">
        <v>399</v>
      </c>
      <c r="Q8" s="3" t="s">
        <v>543</v>
      </c>
      <c r="R8" s="4">
        <v>6.0000000000000001E-80</v>
      </c>
      <c r="S8" s="3">
        <v>248</v>
      </c>
      <c r="T8" s="3">
        <v>66.47</v>
      </c>
      <c r="U8" t="s">
        <v>496</v>
      </c>
      <c r="V8" s="8">
        <v>4E-160</v>
      </c>
      <c r="W8">
        <v>93.06</v>
      </c>
      <c r="X8" s="3" t="s">
        <v>448</v>
      </c>
      <c r="Y8" s="3" t="s">
        <v>462</v>
      </c>
      <c r="Z8" s="3" t="s">
        <v>456</v>
      </c>
    </row>
    <row r="9" spans="1:26" s="1" customFormat="1" x14ac:dyDescent="0.25">
      <c r="A9" s="3" t="s">
        <v>251</v>
      </c>
      <c r="B9" s="3">
        <v>3.06</v>
      </c>
      <c r="C9" s="3">
        <f t="shared" si="0"/>
        <v>1.6135316529179271</v>
      </c>
      <c r="D9" s="3">
        <v>471</v>
      </c>
      <c r="E9" s="3" t="s">
        <v>23</v>
      </c>
      <c r="F9" s="3" t="s">
        <v>23</v>
      </c>
      <c r="G9" s="3" t="s">
        <v>23</v>
      </c>
      <c r="H9" s="3" t="s">
        <v>23</v>
      </c>
      <c r="I9" s="3" t="s">
        <v>23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35</v>
      </c>
      <c r="P9" s="3" t="s">
        <v>399</v>
      </c>
      <c r="Q9" s="3" t="s">
        <v>543</v>
      </c>
      <c r="R9" s="4">
        <v>1.0000000000000001E-68</v>
      </c>
      <c r="S9" s="3">
        <v>219</v>
      </c>
      <c r="T9" s="3">
        <v>61.04</v>
      </c>
      <c r="U9" t="s">
        <v>501</v>
      </c>
      <c r="V9">
        <v>0</v>
      </c>
      <c r="W9">
        <v>93.64</v>
      </c>
      <c r="X9" s="3" t="s">
        <v>448</v>
      </c>
      <c r="Y9" s="3" t="s">
        <v>462</v>
      </c>
      <c r="Z9" s="3" t="s">
        <v>456</v>
      </c>
    </row>
    <row r="10" spans="1:26" s="1" customFormat="1" x14ac:dyDescent="0.25">
      <c r="A10" s="3" t="s">
        <v>367</v>
      </c>
      <c r="B10" s="3">
        <v>2</v>
      </c>
      <c r="C10" s="3">
        <f t="shared" si="0"/>
        <v>1</v>
      </c>
      <c r="D10" s="3">
        <v>266</v>
      </c>
      <c r="E10" s="3" t="s">
        <v>23</v>
      </c>
      <c r="F10" s="3" t="s">
        <v>23</v>
      </c>
      <c r="G10" s="3" t="s">
        <v>23</v>
      </c>
      <c r="H10" s="3" t="s">
        <v>23</v>
      </c>
      <c r="I10" s="3" t="s">
        <v>23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368</v>
      </c>
      <c r="P10" s="3" t="s">
        <v>431</v>
      </c>
      <c r="Q10" s="3" t="s">
        <v>544</v>
      </c>
      <c r="R10" s="4">
        <v>5.9999999999999995E-8</v>
      </c>
      <c r="S10" s="3">
        <v>56.6</v>
      </c>
      <c r="T10" s="3">
        <v>40</v>
      </c>
      <c r="U10" t="s">
        <v>503</v>
      </c>
      <c r="V10" s="8">
        <v>3.9999999999999997E-88</v>
      </c>
      <c r="W10">
        <v>95.22</v>
      </c>
      <c r="X10" s="3" t="s">
        <v>448</v>
      </c>
      <c r="Y10" s="3" t="s">
        <v>457</v>
      </c>
      <c r="Z10" s="3" t="s">
        <v>458</v>
      </c>
    </row>
    <row r="11" spans="1:26" s="1" customFormat="1" x14ac:dyDescent="0.25">
      <c r="A11" s="3" t="s">
        <v>80</v>
      </c>
      <c r="B11" s="3">
        <v>2</v>
      </c>
      <c r="C11" s="3">
        <f t="shared" si="0"/>
        <v>1</v>
      </c>
      <c r="D11" s="3">
        <v>261</v>
      </c>
      <c r="E11" s="3" t="s">
        <v>81</v>
      </c>
      <c r="F11" s="3" t="s">
        <v>82</v>
      </c>
      <c r="G11" s="4">
        <v>2.9999999999999999E-50</v>
      </c>
      <c r="H11" s="3">
        <v>200</v>
      </c>
      <c r="I11" s="3">
        <v>82.05</v>
      </c>
      <c r="J11" s="3" t="s">
        <v>83</v>
      </c>
      <c r="K11" s="3" t="s">
        <v>84</v>
      </c>
      <c r="L11" s="4">
        <v>3.0000000000000001E-92</v>
      </c>
      <c r="M11" s="3">
        <v>348</v>
      </c>
      <c r="N11" s="3">
        <v>91.67</v>
      </c>
      <c r="O11" s="3" t="s">
        <v>85</v>
      </c>
      <c r="P11" s="3" t="s">
        <v>404</v>
      </c>
      <c r="Q11" s="3" t="s">
        <v>545</v>
      </c>
      <c r="R11" s="4">
        <v>4.0000000000000001E-13</v>
      </c>
      <c r="S11" s="3">
        <v>75.099999999999994</v>
      </c>
      <c r="T11" s="3">
        <v>88.89</v>
      </c>
      <c r="U11"/>
      <c r="V11"/>
      <c r="W11"/>
      <c r="X11" s="3" t="s">
        <v>448</v>
      </c>
      <c r="Y11" s="3" t="s">
        <v>459</v>
      </c>
      <c r="Z11" s="3" t="s">
        <v>460</v>
      </c>
    </row>
    <row r="12" spans="1:26" s="1" customFormat="1" x14ac:dyDescent="0.25">
      <c r="A12" s="3" t="s">
        <v>137</v>
      </c>
      <c r="B12" s="3">
        <v>33695.35</v>
      </c>
      <c r="C12" s="3">
        <f t="shared" si="0"/>
        <v>15.040261890991845</v>
      </c>
      <c r="D12" s="3">
        <v>4133</v>
      </c>
      <c r="E12" s="3" t="s">
        <v>23</v>
      </c>
      <c r="F12" s="3" t="s">
        <v>23</v>
      </c>
      <c r="G12" s="3" t="s">
        <v>23</v>
      </c>
      <c r="H12" s="3" t="s">
        <v>23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138</v>
      </c>
      <c r="P12" s="3" t="s">
        <v>416</v>
      </c>
      <c r="Q12" s="3" t="s">
        <v>546</v>
      </c>
      <c r="R12" s="4">
        <v>4.9999999999999999E-150</v>
      </c>
      <c r="S12" s="3">
        <v>498</v>
      </c>
      <c r="T12" s="3">
        <v>34.75</v>
      </c>
      <c r="U12"/>
      <c r="V12"/>
      <c r="W12"/>
      <c r="X12" s="3" t="s">
        <v>448</v>
      </c>
      <c r="Y12" s="3" t="s">
        <v>452</v>
      </c>
      <c r="Z12" s="3" t="s">
        <v>461</v>
      </c>
    </row>
    <row r="13" spans="1:26" s="1" customFormat="1" x14ac:dyDescent="0.25">
      <c r="A13" s="3" t="s">
        <v>151</v>
      </c>
      <c r="B13" s="3">
        <v>22.13</v>
      </c>
      <c r="C13" s="3">
        <f t="shared" si="0"/>
        <v>4.4679315460262874</v>
      </c>
      <c r="D13" s="3">
        <v>1316</v>
      </c>
      <c r="E13" s="3" t="s">
        <v>23</v>
      </c>
      <c r="F13" s="3" t="s">
        <v>23</v>
      </c>
      <c r="G13" s="3" t="s">
        <v>23</v>
      </c>
      <c r="H13" s="3" t="s">
        <v>23</v>
      </c>
      <c r="I13" s="3" t="s">
        <v>23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144</v>
      </c>
      <c r="P13" s="3" t="s">
        <v>419</v>
      </c>
      <c r="Q13" s="3" t="s">
        <v>546</v>
      </c>
      <c r="R13" s="4">
        <v>8.0000000000000001E-51</v>
      </c>
      <c r="S13" s="3">
        <v>186</v>
      </c>
      <c r="T13" s="3">
        <v>39.130000000000003</v>
      </c>
      <c r="U13"/>
      <c r="V13"/>
      <c r="W13"/>
      <c r="X13" s="3" t="s">
        <v>448</v>
      </c>
      <c r="Y13" s="3" t="s">
        <v>452</v>
      </c>
      <c r="Z13" s="3" t="s">
        <v>461</v>
      </c>
    </row>
    <row r="14" spans="1:26" s="1" customFormat="1" x14ac:dyDescent="0.25">
      <c r="A14" s="3" t="s">
        <v>143</v>
      </c>
      <c r="B14" s="3">
        <v>56.07</v>
      </c>
      <c r="C14" s="3">
        <f t="shared" si="0"/>
        <v>5.80915716469159</v>
      </c>
      <c r="D14" s="3">
        <v>2416</v>
      </c>
      <c r="E14" s="3" t="s">
        <v>23</v>
      </c>
      <c r="F14" s="3" t="s">
        <v>23</v>
      </c>
      <c r="G14" s="3" t="s">
        <v>23</v>
      </c>
      <c r="H14" s="3" t="s">
        <v>23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144</v>
      </c>
      <c r="P14" s="3" t="s">
        <v>419</v>
      </c>
      <c r="Q14" s="3" t="s">
        <v>546</v>
      </c>
      <c r="R14" s="4">
        <v>6E-49</v>
      </c>
      <c r="S14" s="3">
        <v>186</v>
      </c>
      <c r="T14" s="3">
        <v>39.130000000000003</v>
      </c>
      <c r="U14"/>
      <c r="V14"/>
      <c r="W14"/>
      <c r="X14" s="3" t="s">
        <v>448</v>
      </c>
      <c r="Y14" s="3" t="s">
        <v>452</v>
      </c>
      <c r="Z14" s="3" t="s">
        <v>461</v>
      </c>
    </row>
    <row r="15" spans="1:26" s="1" customFormat="1" x14ac:dyDescent="0.25">
      <c r="A15" s="3" t="s">
        <v>102</v>
      </c>
      <c r="B15" s="3">
        <v>139663.13</v>
      </c>
      <c r="C15" s="3">
        <f t="shared" si="0"/>
        <v>17.091591684971572</v>
      </c>
      <c r="D15" s="3">
        <v>5938</v>
      </c>
      <c r="E15" s="3" t="s">
        <v>103</v>
      </c>
      <c r="F15" s="3" t="s">
        <v>104</v>
      </c>
      <c r="G15" s="4">
        <v>8.9999999999999999E-8</v>
      </c>
      <c r="H15" s="3">
        <v>63.9</v>
      </c>
      <c r="I15" s="3">
        <v>95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105</v>
      </c>
      <c r="P15" s="3" t="s">
        <v>407</v>
      </c>
      <c r="Q15" s="3" t="s">
        <v>546</v>
      </c>
      <c r="R15" s="4">
        <v>2E-35</v>
      </c>
      <c r="S15" s="3">
        <v>160</v>
      </c>
      <c r="T15" s="3">
        <v>34.17</v>
      </c>
      <c r="U15"/>
      <c r="V15"/>
      <c r="W15"/>
      <c r="X15" s="3" t="s">
        <v>448</v>
      </c>
      <c r="Y15" s="3" t="s">
        <v>452</v>
      </c>
      <c r="Z15" s="3" t="s">
        <v>461</v>
      </c>
    </row>
    <row r="16" spans="1:26" s="1" customFormat="1" x14ac:dyDescent="0.25">
      <c r="A16" s="3" t="s">
        <v>141</v>
      </c>
      <c r="B16" s="3">
        <v>48693.98</v>
      </c>
      <c r="C16" s="3">
        <f t="shared" si="0"/>
        <v>15.571455803582211</v>
      </c>
      <c r="D16" s="3">
        <v>2713</v>
      </c>
      <c r="E16" s="3" t="s">
        <v>23</v>
      </c>
      <c r="F16" s="3" t="s">
        <v>23</v>
      </c>
      <c r="G16" s="3" t="s">
        <v>23</v>
      </c>
      <c r="H16" s="3" t="s">
        <v>23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142</v>
      </c>
      <c r="P16" s="3" t="s">
        <v>418</v>
      </c>
      <c r="Q16" s="3" t="s">
        <v>546</v>
      </c>
      <c r="R16" s="4">
        <v>1E-14</v>
      </c>
      <c r="S16" s="3">
        <v>85.5</v>
      </c>
      <c r="T16" s="3">
        <v>35.96</v>
      </c>
      <c r="U16"/>
      <c r="V16"/>
      <c r="W16"/>
      <c r="X16" s="3" t="s">
        <v>448</v>
      </c>
      <c r="Y16" s="3" t="s">
        <v>452</v>
      </c>
      <c r="Z16" s="3" t="s">
        <v>461</v>
      </c>
    </row>
    <row r="17" spans="1:26" s="1" customFormat="1" x14ac:dyDescent="0.25">
      <c r="A17" s="3" t="s">
        <v>386</v>
      </c>
      <c r="B17" s="3">
        <v>2</v>
      </c>
      <c r="C17" s="3">
        <f t="shared" si="0"/>
        <v>1</v>
      </c>
      <c r="D17" s="3">
        <v>243</v>
      </c>
      <c r="E17" s="3" t="s">
        <v>23</v>
      </c>
      <c r="F17" s="3" t="s">
        <v>23</v>
      </c>
      <c r="G17" s="3" t="s">
        <v>23</v>
      </c>
      <c r="H17" s="3" t="s">
        <v>23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206</v>
      </c>
      <c r="P17" s="3" t="s">
        <v>403</v>
      </c>
      <c r="Q17" s="3" t="s">
        <v>547</v>
      </c>
      <c r="R17" s="4">
        <v>2E-14</v>
      </c>
      <c r="S17" s="3">
        <v>79</v>
      </c>
      <c r="T17" s="3">
        <v>53.16</v>
      </c>
      <c r="U17" t="s">
        <v>482</v>
      </c>
      <c r="V17" s="8">
        <v>1.9999999999999999E-124</v>
      </c>
      <c r="W17">
        <v>100</v>
      </c>
      <c r="X17" s="3" t="s">
        <v>448</v>
      </c>
      <c r="Y17" s="3" t="s">
        <v>452</v>
      </c>
      <c r="Z17" s="3" t="s">
        <v>461</v>
      </c>
    </row>
    <row r="18" spans="1:26" s="1" customFormat="1" x14ac:dyDescent="0.25">
      <c r="A18" s="3" t="s">
        <v>313</v>
      </c>
      <c r="B18" s="3">
        <v>2</v>
      </c>
      <c r="C18" s="3">
        <f t="shared" si="0"/>
        <v>1</v>
      </c>
      <c r="D18" s="3">
        <v>330</v>
      </c>
      <c r="E18" s="3" t="s">
        <v>23</v>
      </c>
      <c r="F18" s="3" t="s">
        <v>23</v>
      </c>
      <c r="G18" s="3" t="s">
        <v>23</v>
      </c>
      <c r="H18" s="3" t="s">
        <v>23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206</v>
      </c>
      <c r="P18" s="3" t="s">
        <v>403</v>
      </c>
      <c r="Q18" s="3" t="s">
        <v>547</v>
      </c>
      <c r="R18" s="4">
        <v>3E-10</v>
      </c>
      <c r="S18" s="3">
        <v>68.2</v>
      </c>
      <c r="T18" s="3">
        <v>54.41</v>
      </c>
      <c r="U18" t="s">
        <v>485</v>
      </c>
      <c r="V18" s="8">
        <v>2.9999999999999999E-144</v>
      </c>
      <c r="W18">
        <v>94.85</v>
      </c>
      <c r="X18" s="3" t="s">
        <v>448</v>
      </c>
      <c r="Y18" s="3" t="s">
        <v>452</v>
      </c>
      <c r="Z18" s="3" t="s">
        <v>461</v>
      </c>
    </row>
    <row r="19" spans="1:26" s="1" customFormat="1" x14ac:dyDescent="0.25">
      <c r="A19" s="3" t="s">
        <v>288</v>
      </c>
      <c r="B19" s="3">
        <v>1</v>
      </c>
      <c r="C19" s="3">
        <f t="shared" si="0"/>
        <v>0</v>
      </c>
      <c r="D19" s="3">
        <v>354</v>
      </c>
      <c r="E19" s="3" t="s">
        <v>23</v>
      </c>
      <c r="F19" s="3" t="s">
        <v>23</v>
      </c>
      <c r="G19" s="3" t="s">
        <v>23</v>
      </c>
      <c r="H19" s="3" t="s">
        <v>23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206</v>
      </c>
      <c r="P19" s="3" t="s">
        <v>403</v>
      </c>
      <c r="Q19" s="3" t="s">
        <v>547</v>
      </c>
      <c r="R19" s="4">
        <v>6.0000000000000002E-6</v>
      </c>
      <c r="S19" s="3">
        <v>55.5</v>
      </c>
      <c r="T19" s="3">
        <v>53.7</v>
      </c>
      <c r="U19" t="s">
        <v>507</v>
      </c>
      <c r="V19" s="8">
        <v>9.0000000000000006E-81</v>
      </c>
      <c r="W19">
        <v>88.76</v>
      </c>
      <c r="X19" s="3" t="s">
        <v>448</v>
      </c>
      <c r="Y19" s="3" t="s">
        <v>452</v>
      </c>
      <c r="Z19" s="3" t="s">
        <v>461</v>
      </c>
    </row>
    <row r="20" spans="1:26" s="1" customFormat="1" x14ac:dyDescent="0.25">
      <c r="A20" s="3" t="s">
        <v>209</v>
      </c>
      <c r="B20" s="3">
        <v>2</v>
      </c>
      <c r="C20" s="3">
        <f t="shared" si="0"/>
        <v>1</v>
      </c>
      <c r="D20" s="3">
        <v>543</v>
      </c>
      <c r="E20" s="3" t="s">
        <v>23</v>
      </c>
      <c r="F20" s="3" t="s">
        <v>23</v>
      </c>
      <c r="G20" s="3" t="s">
        <v>23</v>
      </c>
      <c r="H20" s="3" t="s">
        <v>23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210</v>
      </c>
      <c r="P20" s="3" t="s">
        <v>403</v>
      </c>
      <c r="Q20" s="3" t="s">
        <v>548</v>
      </c>
      <c r="R20" s="4">
        <v>5E-71</v>
      </c>
      <c r="S20" s="3">
        <v>246</v>
      </c>
      <c r="T20" s="3">
        <v>61.33</v>
      </c>
      <c r="U20" t="s">
        <v>489</v>
      </c>
      <c r="V20" s="8">
        <v>6.0000000000000002E-159</v>
      </c>
      <c r="W20">
        <v>85.45</v>
      </c>
      <c r="X20" s="3" t="s">
        <v>448</v>
      </c>
      <c r="Y20" s="3" t="s">
        <v>455</v>
      </c>
      <c r="Z20" s="3" t="s">
        <v>456</v>
      </c>
    </row>
    <row r="21" spans="1:26" s="1" customFormat="1" x14ac:dyDescent="0.25">
      <c r="A21" s="3" t="s">
        <v>350</v>
      </c>
      <c r="B21" s="3">
        <v>2</v>
      </c>
      <c r="C21" s="3">
        <f t="shared" si="0"/>
        <v>1</v>
      </c>
      <c r="D21" s="3">
        <v>283</v>
      </c>
      <c r="E21" s="3" t="s">
        <v>23</v>
      </c>
      <c r="F21" s="3" t="s">
        <v>23</v>
      </c>
      <c r="G21" s="3" t="s">
        <v>23</v>
      </c>
      <c r="H21" s="3" t="s">
        <v>23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210</v>
      </c>
      <c r="P21" s="3" t="s">
        <v>403</v>
      </c>
      <c r="Q21" s="3" t="s">
        <v>548</v>
      </c>
      <c r="R21" s="4">
        <v>1E-22</v>
      </c>
      <c r="S21" s="3">
        <v>103</v>
      </c>
      <c r="T21" s="3">
        <v>60.92</v>
      </c>
      <c r="U21" t="s">
        <v>490</v>
      </c>
      <c r="V21" s="8">
        <v>1.9999999999999999E-81</v>
      </c>
      <c r="W21">
        <v>86.43</v>
      </c>
      <c r="X21" s="3" t="s">
        <v>448</v>
      </c>
      <c r="Y21" s="3" t="s">
        <v>455</v>
      </c>
      <c r="Z21" s="3" t="s">
        <v>456</v>
      </c>
    </row>
    <row r="22" spans="1:26" s="1" customFormat="1" x14ac:dyDescent="0.25">
      <c r="A22" s="3" t="s">
        <v>192</v>
      </c>
      <c r="B22" s="3">
        <v>3</v>
      </c>
      <c r="C22" s="3">
        <f t="shared" si="0"/>
        <v>1.5849625007211563</v>
      </c>
      <c r="D22" s="3">
        <v>627</v>
      </c>
      <c r="E22" s="3" t="s">
        <v>23</v>
      </c>
      <c r="F22" s="3" t="s">
        <v>23</v>
      </c>
      <c r="G22" s="3" t="s">
        <v>23</v>
      </c>
      <c r="H22" s="3" t="s">
        <v>23</v>
      </c>
      <c r="I22" s="3" t="s">
        <v>23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193</v>
      </c>
      <c r="P22" s="3" t="s">
        <v>410</v>
      </c>
      <c r="Q22" s="3" t="s">
        <v>548</v>
      </c>
      <c r="R22" s="4">
        <v>7.0000000000000005E-13</v>
      </c>
      <c r="S22" s="3">
        <v>73.900000000000006</v>
      </c>
      <c r="T22" s="3">
        <v>62.12</v>
      </c>
      <c r="U22"/>
      <c r="V22"/>
      <c r="W22"/>
      <c r="X22" s="3" t="s">
        <v>448</v>
      </c>
      <c r="Y22" s="3" t="s">
        <v>455</v>
      </c>
      <c r="Z22" s="3" t="s">
        <v>456</v>
      </c>
    </row>
    <row r="23" spans="1:26" s="1" customFormat="1" x14ac:dyDescent="0.25">
      <c r="A23" s="3" t="s">
        <v>272</v>
      </c>
      <c r="B23" s="3">
        <v>6</v>
      </c>
      <c r="C23" s="3">
        <f t="shared" si="0"/>
        <v>2.5849625007211561</v>
      </c>
      <c r="D23" s="3">
        <v>387</v>
      </c>
      <c r="E23" s="3" t="s">
        <v>23</v>
      </c>
      <c r="F23" s="3" t="s">
        <v>23</v>
      </c>
      <c r="G23" s="3" t="s">
        <v>23</v>
      </c>
      <c r="H23" s="3" t="s">
        <v>23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210</v>
      </c>
      <c r="P23" s="3" t="s">
        <v>403</v>
      </c>
      <c r="Q23" s="3" t="s">
        <v>548</v>
      </c>
      <c r="R23" s="4">
        <v>1.9999999999999999E-11</v>
      </c>
      <c r="S23" s="3">
        <v>72</v>
      </c>
      <c r="T23" s="3">
        <v>34.380000000000003</v>
      </c>
      <c r="U23" t="s">
        <v>535</v>
      </c>
      <c r="V23" s="8">
        <v>9.9999999999999995E-144</v>
      </c>
      <c r="W23">
        <v>96.18</v>
      </c>
      <c r="X23" s="3" t="s">
        <v>448</v>
      </c>
      <c r="Y23" s="3" t="s">
        <v>455</v>
      </c>
      <c r="Z23" s="3" t="s">
        <v>456</v>
      </c>
    </row>
    <row r="24" spans="1:26" s="1" customFormat="1" x14ac:dyDescent="0.25">
      <c r="A24" s="3" t="s">
        <v>356</v>
      </c>
      <c r="B24" s="3">
        <v>5</v>
      </c>
      <c r="C24" s="3">
        <f t="shared" si="0"/>
        <v>2.3219280948873622</v>
      </c>
      <c r="D24" s="3">
        <v>275</v>
      </c>
      <c r="E24" s="3" t="s">
        <v>23</v>
      </c>
      <c r="F24" s="3" t="s">
        <v>23</v>
      </c>
      <c r="G24" s="3" t="s">
        <v>23</v>
      </c>
      <c r="H24" s="3" t="s">
        <v>23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357</v>
      </c>
      <c r="P24" s="3" t="s">
        <v>428</v>
      </c>
      <c r="Q24" s="3" t="s">
        <v>549</v>
      </c>
      <c r="R24" s="4">
        <v>3.0000000000000002E-33</v>
      </c>
      <c r="S24" s="3">
        <v>123</v>
      </c>
      <c r="T24" s="3">
        <v>59.34</v>
      </c>
      <c r="U24" t="s">
        <v>528</v>
      </c>
      <c r="V24" s="8">
        <v>4.9999999999999997E-127</v>
      </c>
      <c r="W24">
        <v>96.73</v>
      </c>
      <c r="X24" s="3" t="s">
        <v>448</v>
      </c>
      <c r="Y24" s="3" t="s">
        <v>455</v>
      </c>
      <c r="Z24" s="3" t="s">
        <v>456</v>
      </c>
    </row>
    <row r="25" spans="1:26" s="1" customFormat="1" x14ac:dyDescent="0.25">
      <c r="A25" s="3" t="s">
        <v>116</v>
      </c>
      <c r="B25" s="3">
        <v>11</v>
      </c>
      <c r="C25" s="3">
        <f t="shared" si="0"/>
        <v>3.4594316186372978</v>
      </c>
      <c r="D25" s="3">
        <v>528</v>
      </c>
      <c r="E25" s="3" t="s">
        <v>23</v>
      </c>
      <c r="F25" s="3" t="s">
        <v>23</v>
      </c>
      <c r="G25" s="3" t="s">
        <v>23</v>
      </c>
      <c r="H25" s="3" t="s">
        <v>23</v>
      </c>
      <c r="I25" s="3" t="s">
        <v>23</v>
      </c>
      <c r="J25" s="3" t="s">
        <v>117</v>
      </c>
      <c r="K25" s="3" t="s">
        <v>118</v>
      </c>
      <c r="L25" s="4">
        <v>4.0000000000000002E-9</v>
      </c>
      <c r="M25" s="3">
        <v>73.099999999999994</v>
      </c>
      <c r="N25" s="3">
        <v>88.33</v>
      </c>
      <c r="O25" s="3" t="s">
        <v>119</v>
      </c>
      <c r="P25" s="3" t="s">
        <v>413</v>
      </c>
      <c r="Q25" s="3" t="s">
        <v>549</v>
      </c>
      <c r="R25" s="4">
        <v>4.0000000000000002E-32</v>
      </c>
      <c r="S25" s="3">
        <v>125</v>
      </c>
      <c r="T25" s="3">
        <v>50</v>
      </c>
      <c r="U25" t="s">
        <v>507</v>
      </c>
      <c r="V25">
        <v>0</v>
      </c>
      <c r="W25">
        <v>90.71</v>
      </c>
      <c r="X25" s="3" t="s">
        <v>448</v>
      </c>
      <c r="Y25" s="3" t="s">
        <v>455</v>
      </c>
      <c r="Z25" s="3" t="s">
        <v>456</v>
      </c>
    </row>
    <row r="26" spans="1:26" s="1" customFormat="1" x14ac:dyDescent="0.25">
      <c r="A26" s="3" t="s">
        <v>332</v>
      </c>
      <c r="B26" s="3">
        <v>2</v>
      </c>
      <c r="C26" s="3">
        <f t="shared" si="0"/>
        <v>1</v>
      </c>
      <c r="D26" s="3">
        <v>304</v>
      </c>
      <c r="E26" s="3" t="s">
        <v>23</v>
      </c>
      <c r="F26" s="3" t="s">
        <v>23</v>
      </c>
      <c r="G26" s="3" t="s">
        <v>23</v>
      </c>
      <c r="H26" s="3" t="s">
        <v>23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333</v>
      </c>
      <c r="P26" s="3" t="s">
        <v>428</v>
      </c>
      <c r="Q26" s="3" t="s">
        <v>549</v>
      </c>
      <c r="R26" s="4">
        <v>5.9999999999999996E-31</v>
      </c>
      <c r="S26" s="3">
        <v>118</v>
      </c>
      <c r="T26" s="3">
        <v>61.39</v>
      </c>
      <c r="U26" t="s">
        <v>484</v>
      </c>
      <c r="V26" s="8">
        <v>5.0000000000000002E-43</v>
      </c>
      <c r="W26">
        <v>88.97</v>
      </c>
      <c r="X26" s="3" t="s">
        <v>448</v>
      </c>
      <c r="Y26" s="3" t="s">
        <v>455</v>
      </c>
      <c r="Z26" s="3" t="s">
        <v>456</v>
      </c>
    </row>
    <row r="27" spans="1:26" s="1" customFormat="1" x14ac:dyDescent="0.25">
      <c r="A27" s="3" t="s">
        <v>375</v>
      </c>
      <c r="B27" s="3">
        <v>2</v>
      </c>
      <c r="C27" s="3">
        <f t="shared" si="0"/>
        <v>1</v>
      </c>
      <c r="D27" s="3">
        <v>251</v>
      </c>
      <c r="E27" s="3" t="s">
        <v>23</v>
      </c>
      <c r="F27" s="3" t="s">
        <v>23</v>
      </c>
      <c r="G27" s="3" t="s">
        <v>23</v>
      </c>
      <c r="H27" s="3" t="s">
        <v>23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376</v>
      </c>
      <c r="P27" s="3" t="s">
        <v>428</v>
      </c>
      <c r="Q27" s="3" t="s">
        <v>549</v>
      </c>
      <c r="R27" s="4">
        <v>1E-26</v>
      </c>
      <c r="S27" s="3">
        <v>106</v>
      </c>
      <c r="T27" s="3">
        <v>56.63</v>
      </c>
      <c r="U27" t="s">
        <v>513</v>
      </c>
      <c r="V27" s="8">
        <v>9.0000000000000006E-99</v>
      </c>
      <c r="W27">
        <v>92.83</v>
      </c>
      <c r="X27" s="3" t="s">
        <v>448</v>
      </c>
      <c r="Y27" s="3" t="s">
        <v>455</v>
      </c>
      <c r="Z27" s="3" t="s">
        <v>456</v>
      </c>
    </row>
    <row r="28" spans="1:26" s="1" customFormat="1" x14ac:dyDescent="0.25">
      <c r="A28" s="3" t="s">
        <v>195</v>
      </c>
      <c r="B28" s="3">
        <v>6.21</v>
      </c>
      <c r="C28" s="3">
        <f t="shared" si="0"/>
        <v>2.6345932684457569</v>
      </c>
      <c r="D28" s="3">
        <v>615</v>
      </c>
      <c r="E28" s="3" t="s">
        <v>23</v>
      </c>
      <c r="F28" s="3" t="s">
        <v>23</v>
      </c>
      <c r="G28" s="3" t="s">
        <v>23</v>
      </c>
      <c r="H28" s="3" t="s">
        <v>23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196</v>
      </c>
      <c r="P28" s="3" t="s">
        <v>413</v>
      </c>
      <c r="Q28" s="3" t="s">
        <v>549</v>
      </c>
      <c r="R28" s="4">
        <v>1.9999999999999998E-21</v>
      </c>
      <c r="S28" s="3">
        <v>97.8</v>
      </c>
      <c r="T28" s="3">
        <v>48.98</v>
      </c>
      <c r="U28" t="s">
        <v>496</v>
      </c>
      <c r="V28" s="8">
        <v>3.9999999999999997E-71</v>
      </c>
      <c r="W28">
        <v>90.73</v>
      </c>
      <c r="X28" s="3" t="s">
        <v>448</v>
      </c>
      <c r="Y28" s="3" t="s">
        <v>455</v>
      </c>
      <c r="Z28" s="3" t="s">
        <v>456</v>
      </c>
    </row>
    <row r="29" spans="1:26" s="1" customFormat="1" x14ac:dyDescent="0.25">
      <c r="A29" s="3" t="s">
        <v>316</v>
      </c>
      <c r="B29" s="3">
        <v>3</v>
      </c>
      <c r="C29" s="3">
        <f t="shared" si="0"/>
        <v>1.5849625007211563</v>
      </c>
      <c r="D29" s="3">
        <v>322</v>
      </c>
      <c r="E29" s="3" t="s">
        <v>23</v>
      </c>
      <c r="F29" s="3" t="s">
        <v>23</v>
      </c>
      <c r="G29" s="3" t="s">
        <v>23</v>
      </c>
      <c r="H29" s="3" t="s">
        <v>23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115</v>
      </c>
      <c r="P29" s="3" t="s">
        <v>412</v>
      </c>
      <c r="Q29" s="3" t="s">
        <v>437</v>
      </c>
      <c r="R29" s="4">
        <v>3.0000000000000003E-29</v>
      </c>
      <c r="S29" s="3">
        <v>114</v>
      </c>
      <c r="T29" s="3">
        <v>60.47</v>
      </c>
      <c r="U29" t="s">
        <v>531</v>
      </c>
      <c r="V29" s="8">
        <v>3.0000000000000001E-120</v>
      </c>
      <c r="W29">
        <v>95.93</v>
      </c>
      <c r="X29" s="3" t="s">
        <v>448</v>
      </c>
      <c r="Y29" s="3" t="s">
        <v>457</v>
      </c>
      <c r="Z29" s="3" t="s">
        <v>452</v>
      </c>
    </row>
    <row r="30" spans="1:26" s="1" customFormat="1" x14ac:dyDescent="0.25">
      <c r="A30" s="3" t="s">
        <v>253</v>
      </c>
      <c r="B30" s="3">
        <v>2.75</v>
      </c>
      <c r="C30" s="3">
        <f t="shared" si="0"/>
        <v>1.4594316186372973</v>
      </c>
      <c r="D30" s="3">
        <v>466</v>
      </c>
      <c r="E30" s="3" t="s">
        <v>23</v>
      </c>
      <c r="F30" s="3" t="s">
        <v>23</v>
      </c>
      <c r="G30" s="3" t="s">
        <v>23</v>
      </c>
      <c r="H30" s="3" t="s">
        <v>23</v>
      </c>
      <c r="I30" s="3" t="s">
        <v>23</v>
      </c>
      <c r="J30" s="3" t="s">
        <v>254</v>
      </c>
      <c r="K30" s="3" t="s">
        <v>255</v>
      </c>
      <c r="L30" s="4">
        <v>1.0000000000000001E-33</v>
      </c>
      <c r="M30" s="3">
        <v>154</v>
      </c>
      <c r="N30" s="3">
        <v>85.23</v>
      </c>
      <c r="O30" s="3" t="s">
        <v>115</v>
      </c>
      <c r="P30" s="3" t="s">
        <v>412</v>
      </c>
      <c r="Q30" s="3" t="s">
        <v>437</v>
      </c>
      <c r="R30" s="4">
        <v>1.9999999999999999E-28</v>
      </c>
      <c r="S30" s="3">
        <v>114</v>
      </c>
      <c r="T30" s="3">
        <v>58.82</v>
      </c>
      <c r="U30" t="s">
        <v>531</v>
      </c>
      <c r="V30" s="8">
        <v>9.9999999999999998E-121</v>
      </c>
      <c r="W30">
        <v>96.93</v>
      </c>
      <c r="X30" s="3" t="s">
        <v>448</v>
      </c>
      <c r="Y30" s="3" t="s">
        <v>457</v>
      </c>
      <c r="Z30" s="3" t="s">
        <v>452</v>
      </c>
    </row>
    <row r="31" spans="1:26" s="1" customFormat="1" x14ac:dyDescent="0.25">
      <c r="A31" s="3" t="s">
        <v>112</v>
      </c>
      <c r="B31" s="3">
        <v>14.25</v>
      </c>
      <c r="C31" s="3">
        <f t="shared" si="0"/>
        <v>3.8328900141647417</v>
      </c>
      <c r="D31" s="3">
        <v>539</v>
      </c>
      <c r="E31" s="3" t="s">
        <v>23</v>
      </c>
      <c r="F31" s="3" t="s">
        <v>23</v>
      </c>
      <c r="G31" s="3" t="s">
        <v>23</v>
      </c>
      <c r="H31" s="3" t="s">
        <v>23</v>
      </c>
      <c r="I31" s="3" t="s">
        <v>23</v>
      </c>
      <c r="J31" s="3" t="s">
        <v>113</v>
      </c>
      <c r="K31" s="3" t="s">
        <v>114</v>
      </c>
      <c r="L31" s="4">
        <v>6.9999999999999997E-7</v>
      </c>
      <c r="M31" s="3">
        <v>65.8</v>
      </c>
      <c r="N31" s="3">
        <v>83.1</v>
      </c>
      <c r="O31" s="3" t="s">
        <v>115</v>
      </c>
      <c r="P31" s="3" t="s">
        <v>412</v>
      </c>
      <c r="Q31" s="3" t="s">
        <v>437</v>
      </c>
      <c r="R31" s="4">
        <v>2.0000000000000001E-27</v>
      </c>
      <c r="S31" s="3">
        <v>112</v>
      </c>
      <c r="T31" s="3">
        <v>56.98</v>
      </c>
      <c r="U31" t="s">
        <v>532</v>
      </c>
      <c r="V31" s="8">
        <v>5.9999999999999998E-139</v>
      </c>
      <c r="W31">
        <v>99.28</v>
      </c>
      <c r="X31" s="3" t="s">
        <v>448</v>
      </c>
      <c r="Y31" s="3" t="s">
        <v>457</v>
      </c>
      <c r="Z31" s="3" t="s">
        <v>452</v>
      </c>
    </row>
    <row r="32" spans="1:26" s="1" customFormat="1" x14ac:dyDescent="0.25">
      <c r="A32" s="3" t="s">
        <v>315</v>
      </c>
      <c r="B32" s="3">
        <v>1</v>
      </c>
      <c r="C32" s="3">
        <f t="shared" si="0"/>
        <v>0</v>
      </c>
      <c r="D32" s="3">
        <v>322</v>
      </c>
      <c r="E32" s="3" t="s">
        <v>23</v>
      </c>
      <c r="F32" s="3" t="s">
        <v>23</v>
      </c>
      <c r="G32" s="3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115</v>
      </c>
      <c r="P32" s="3" t="s">
        <v>412</v>
      </c>
      <c r="Q32" s="3" t="s">
        <v>437</v>
      </c>
      <c r="R32" s="4">
        <v>3.0000000000000001E-26</v>
      </c>
      <c r="S32" s="3">
        <v>106</v>
      </c>
      <c r="T32" s="3">
        <v>58.33</v>
      </c>
      <c r="U32" t="s">
        <v>531</v>
      </c>
      <c r="V32" s="8">
        <v>2E-131</v>
      </c>
      <c r="W32">
        <v>93.17</v>
      </c>
      <c r="X32" s="3" t="s">
        <v>448</v>
      </c>
      <c r="Y32" s="3" t="s">
        <v>457</v>
      </c>
      <c r="Z32" s="3" t="s">
        <v>452</v>
      </c>
    </row>
    <row r="33" spans="1:26" s="1" customFormat="1" x14ac:dyDescent="0.25">
      <c r="A33" s="3" t="s">
        <v>306</v>
      </c>
      <c r="B33" s="3">
        <v>4</v>
      </c>
      <c r="C33" s="3">
        <f t="shared" si="0"/>
        <v>2</v>
      </c>
      <c r="D33" s="3">
        <v>336</v>
      </c>
      <c r="E33" s="3" t="s">
        <v>23</v>
      </c>
      <c r="F33" s="3" t="s">
        <v>23</v>
      </c>
      <c r="G33" s="3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115</v>
      </c>
      <c r="P33" s="3" t="s">
        <v>412</v>
      </c>
      <c r="Q33" s="3" t="s">
        <v>437</v>
      </c>
      <c r="R33" s="4">
        <v>7.0000000000000003E-17</v>
      </c>
      <c r="S33" s="3">
        <v>82</v>
      </c>
      <c r="T33" s="3">
        <v>60.32</v>
      </c>
      <c r="U33" t="s">
        <v>486</v>
      </c>
      <c r="V33" s="8">
        <v>6.9999999999999999E-171</v>
      </c>
      <c r="W33">
        <v>99.11</v>
      </c>
      <c r="X33" s="3" t="s">
        <v>448</v>
      </c>
      <c r="Y33" s="3" t="s">
        <v>457</v>
      </c>
      <c r="Z33" s="3" t="s">
        <v>452</v>
      </c>
    </row>
    <row r="34" spans="1:26" s="1" customFormat="1" x14ac:dyDescent="0.25">
      <c r="A34" s="3" t="s">
        <v>246</v>
      </c>
      <c r="B34" s="3">
        <v>11</v>
      </c>
      <c r="C34" s="3">
        <f t="shared" si="0"/>
        <v>3.4594316186372978</v>
      </c>
      <c r="D34" s="3">
        <v>482</v>
      </c>
      <c r="E34" s="3" t="s">
        <v>23</v>
      </c>
      <c r="F34" s="3" t="s">
        <v>23</v>
      </c>
      <c r="G34" s="3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129</v>
      </c>
      <c r="P34" s="3" t="s">
        <v>415</v>
      </c>
      <c r="Q34" s="3" t="s">
        <v>438</v>
      </c>
      <c r="R34" s="4">
        <v>3.0000000000000001E-70</v>
      </c>
      <c r="S34" s="3">
        <v>223</v>
      </c>
      <c r="T34" s="3">
        <v>63.06</v>
      </c>
      <c r="U34" t="s">
        <v>507</v>
      </c>
      <c r="V34">
        <v>0</v>
      </c>
      <c r="W34">
        <v>95.53</v>
      </c>
      <c r="X34" s="3" t="s">
        <v>448</v>
      </c>
      <c r="Y34" s="3" t="s">
        <v>455</v>
      </c>
      <c r="Z34" s="3" t="s">
        <v>456</v>
      </c>
    </row>
    <row r="35" spans="1:26" s="1" customFormat="1" x14ac:dyDescent="0.25">
      <c r="A35" s="3" t="s">
        <v>173</v>
      </c>
      <c r="B35" s="3">
        <v>10</v>
      </c>
      <c r="C35" s="3">
        <f t="shared" si="0"/>
        <v>3.3219280948873626</v>
      </c>
      <c r="D35" s="3">
        <v>789</v>
      </c>
      <c r="E35" s="3" t="s">
        <v>23</v>
      </c>
      <c r="F35" s="3" t="s">
        <v>23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174</v>
      </c>
      <c r="P35" s="3" t="s">
        <v>403</v>
      </c>
      <c r="Q35" s="3" t="s">
        <v>438</v>
      </c>
      <c r="R35" s="4">
        <v>4E-70</v>
      </c>
      <c r="S35" s="3">
        <v>247</v>
      </c>
      <c r="T35" s="3">
        <v>48.86</v>
      </c>
      <c r="U35" t="s">
        <v>502</v>
      </c>
      <c r="V35">
        <v>0</v>
      </c>
      <c r="W35">
        <v>85.25</v>
      </c>
      <c r="X35" s="3" t="s">
        <v>448</v>
      </c>
      <c r="Y35" s="3" t="s">
        <v>455</v>
      </c>
      <c r="Z35" s="3" t="s">
        <v>456</v>
      </c>
    </row>
    <row r="36" spans="1:26" s="1" customFormat="1" x14ac:dyDescent="0.25">
      <c r="A36" s="3" t="s">
        <v>160</v>
      </c>
      <c r="B36" s="3">
        <v>36.06</v>
      </c>
      <c r="C36" s="3">
        <f t="shared" si="0"/>
        <v>5.172327491657617</v>
      </c>
      <c r="D36" s="3">
        <v>852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161</v>
      </c>
      <c r="P36" s="3" t="s">
        <v>425</v>
      </c>
      <c r="Q36" s="3" t="s">
        <v>438</v>
      </c>
      <c r="R36" s="4">
        <v>8.9999999999999995E-66</v>
      </c>
      <c r="S36" s="3">
        <v>235</v>
      </c>
      <c r="T36" s="3">
        <v>45.59</v>
      </c>
      <c r="U36" t="s">
        <v>482</v>
      </c>
      <c r="V36">
        <v>0</v>
      </c>
      <c r="W36">
        <v>86.24</v>
      </c>
      <c r="X36" s="3" t="s">
        <v>448</v>
      </c>
      <c r="Y36" s="3" t="s">
        <v>455</v>
      </c>
      <c r="Z36" s="3" t="s">
        <v>456</v>
      </c>
    </row>
    <row r="37" spans="1:26" s="1" customFormat="1" x14ac:dyDescent="0.25">
      <c r="A37" s="3" t="s">
        <v>128</v>
      </c>
      <c r="B37" s="3">
        <v>4</v>
      </c>
      <c r="C37" s="3">
        <f t="shared" si="0"/>
        <v>2</v>
      </c>
      <c r="D37" s="3">
        <v>430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124</v>
      </c>
      <c r="K37" s="3" t="s">
        <v>125</v>
      </c>
      <c r="L37" s="4">
        <v>1E-8</v>
      </c>
      <c r="M37" s="3">
        <v>71.3</v>
      </c>
      <c r="N37" s="3">
        <v>84.51</v>
      </c>
      <c r="O37" s="3" t="s">
        <v>129</v>
      </c>
      <c r="P37" s="3" t="s">
        <v>415</v>
      </c>
      <c r="Q37" s="3" t="s">
        <v>438</v>
      </c>
      <c r="R37" s="4">
        <v>1E-62</v>
      </c>
      <c r="S37" s="3">
        <v>203</v>
      </c>
      <c r="T37" s="3">
        <v>68.38</v>
      </c>
      <c r="U37" t="s">
        <v>496</v>
      </c>
      <c r="V37" s="8">
        <v>5.0000000000000003E-134</v>
      </c>
      <c r="W37">
        <v>92.11</v>
      </c>
      <c r="X37" s="3" t="s">
        <v>448</v>
      </c>
      <c r="Y37" s="3" t="s">
        <v>455</v>
      </c>
      <c r="Z37" s="3" t="s">
        <v>456</v>
      </c>
    </row>
    <row r="38" spans="1:26" s="1" customFormat="1" x14ac:dyDescent="0.25">
      <c r="A38" s="3" t="s">
        <v>162</v>
      </c>
      <c r="B38" s="3">
        <v>11.95</v>
      </c>
      <c r="C38" s="3">
        <f t="shared" si="0"/>
        <v>3.5789387130933865</v>
      </c>
      <c r="D38" s="3">
        <v>837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163</v>
      </c>
      <c r="P38" s="3" t="s">
        <v>398</v>
      </c>
      <c r="Q38" s="3" t="s">
        <v>438</v>
      </c>
      <c r="R38" s="4">
        <v>3.0000000000000001E-61</v>
      </c>
      <c r="S38" s="3">
        <v>207</v>
      </c>
      <c r="T38" s="3">
        <v>38.18</v>
      </c>
      <c r="U38" t="s">
        <v>495</v>
      </c>
      <c r="V38">
        <v>0</v>
      </c>
      <c r="W38">
        <v>93.17</v>
      </c>
      <c r="X38" s="3" t="s">
        <v>448</v>
      </c>
      <c r="Y38" s="3" t="s">
        <v>455</v>
      </c>
      <c r="Z38" s="3" t="s">
        <v>456</v>
      </c>
    </row>
    <row r="39" spans="1:26" s="1" customFormat="1" x14ac:dyDescent="0.25">
      <c r="A39" s="3" t="s">
        <v>266</v>
      </c>
      <c r="B39" s="3">
        <v>5</v>
      </c>
      <c r="C39" s="3">
        <f t="shared" si="0"/>
        <v>2.3219280948873622</v>
      </c>
      <c r="D39" s="3">
        <v>411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129</v>
      </c>
      <c r="P39" s="3" t="s">
        <v>415</v>
      </c>
      <c r="Q39" s="3" t="s">
        <v>438</v>
      </c>
      <c r="R39" s="4">
        <v>6.9999999999999996E-56</v>
      </c>
      <c r="S39" s="3">
        <v>186</v>
      </c>
      <c r="T39" s="3">
        <v>66.94</v>
      </c>
      <c r="U39" t="s">
        <v>513</v>
      </c>
      <c r="V39">
        <v>0</v>
      </c>
      <c r="W39">
        <v>97.06</v>
      </c>
      <c r="X39" s="3" t="s">
        <v>448</v>
      </c>
      <c r="Y39" s="3" t="s">
        <v>455</v>
      </c>
      <c r="Z39" s="3" t="s">
        <v>456</v>
      </c>
    </row>
    <row r="40" spans="1:26" s="1" customFormat="1" x14ac:dyDescent="0.25">
      <c r="A40" s="3" t="s">
        <v>178</v>
      </c>
      <c r="B40" s="3">
        <v>7.77</v>
      </c>
      <c r="C40" s="3">
        <f t="shared" si="0"/>
        <v>2.9579145986329856</v>
      </c>
      <c r="D40" s="3">
        <v>775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179</v>
      </c>
      <c r="P40" s="3" t="s">
        <v>398</v>
      </c>
      <c r="Q40" s="3" t="s">
        <v>438</v>
      </c>
      <c r="R40" s="4">
        <v>4E-51</v>
      </c>
      <c r="S40" s="3">
        <v>179</v>
      </c>
      <c r="T40" s="3">
        <v>53.21</v>
      </c>
      <c r="U40" t="s">
        <v>527</v>
      </c>
      <c r="V40" s="8">
        <v>8.0000000000000003E-134</v>
      </c>
      <c r="W40">
        <v>95.1</v>
      </c>
      <c r="X40" s="3" t="s">
        <v>448</v>
      </c>
      <c r="Y40" s="3" t="s">
        <v>455</v>
      </c>
      <c r="Z40" s="3" t="s">
        <v>456</v>
      </c>
    </row>
    <row r="41" spans="1:26" s="1" customFormat="1" x14ac:dyDescent="0.25">
      <c r="A41" s="3" t="s">
        <v>186</v>
      </c>
      <c r="B41" s="3">
        <v>9</v>
      </c>
      <c r="C41" s="3">
        <f t="shared" si="0"/>
        <v>3.1699250014423126</v>
      </c>
      <c r="D41" s="3">
        <v>699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174</v>
      </c>
      <c r="P41" s="3" t="s">
        <v>403</v>
      </c>
      <c r="Q41" s="3" t="s">
        <v>438</v>
      </c>
      <c r="R41" s="4">
        <v>6.9999999999999999E-50</v>
      </c>
      <c r="S41" s="3">
        <v>187</v>
      </c>
      <c r="T41" s="3">
        <v>44.16</v>
      </c>
      <c r="U41"/>
      <c r="V41"/>
      <c r="W41"/>
      <c r="X41" s="3" t="s">
        <v>448</v>
      </c>
      <c r="Y41" s="3" t="s">
        <v>455</v>
      </c>
      <c r="Z41" s="3" t="s">
        <v>456</v>
      </c>
    </row>
    <row r="42" spans="1:26" s="1" customFormat="1" x14ac:dyDescent="0.25">
      <c r="A42" s="3" t="s">
        <v>303</v>
      </c>
      <c r="B42" s="3">
        <v>4</v>
      </c>
      <c r="C42" s="3">
        <f t="shared" si="0"/>
        <v>2</v>
      </c>
      <c r="D42" s="3">
        <v>345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129</v>
      </c>
      <c r="P42" s="3" t="s">
        <v>415</v>
      </c>
      <c r="Q42" s="3" t="s">
        <v>438</v>
      </c>
      <c r="R42" s="4">
        <v>9.9999999999999997E-48</v>
      </c>
      <c r="S42" s="3">
        <v>164</v>
      </c>
      <c r="T42" s="3">
        <v>64.349999999999994</v>
      </c>
      <c r="U42"/>
      <c r="V42"/>
      <c r="W42"/>
      <c r="X42" s="3" t="s">
        <v>448</v>
      </c>
      <c r="Y42" s="3" t="s">
        <v>455</v>
      </c>
      <c r="Z42" s="3" t="s">
        <v>456</v>
      </c>
    </row>
    <row r="43" spans="1:26" s="1" customFormat="1" x14ac:dyDescent="0.25">
      <c r="A43" s="3" t="s">
        <v>200</v>
      </c>
      <c r="B43" s="3">
        <v>1</v>
      </c>
      <c r="C43" s="3">
        <f t="shared" si="0"/>
        <v>0</v>
      </c>
      <c r="D43" s="3">
        <v>572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201</v>
      </c>
      <c r="P43" s="3" t="s">
        <v>425</v>
      </c>
      <c r="Q43" s="3" t="s">
        <v>438</v>
      </c>
      <c r="R43" s="4">
        <v>3.9999999999999997E-39</v>
      </c>
      <c r="S43" s="3">
        <v>150</v>
      </c>
      <c r="T43" s="3">
        <v>44.64</v>
      </c>
      <c r="U43"/>
      <c r="V43"/>
      <c r="W43"/>
      <c r="X43" s="3" t="s">
        <v>448</v>
      </c>
      <c r="Y43" s="3" t="s">
        <v>455</v>
      </c>
      <c r="Z43" s="3" t="s">
        <v>456</v>
      </c>
    </row>
    <row r="44" spans="1:26" s="1" customFormat="1" x14ac:dyDescent="0.25">
      <c r="A44" s="3" t="s">
        <v>264</v>
      </c>
      <c r="B44" s="3">
        <v>28.44</v>
      </c>
      <c r="C44" s="3">
        <f t="shared" si="0"/>
        <v>4.8298495598446909</v>
      </c>
      <c r="D44" s="3">
        <v>416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265</v>
      </c>
      <c r="P44" s="3" t="s">
        <v>398</v>
      </c>
      <c r="Q44" s="3" t="s">
        <v>438</v>
      </c>
      <c r="R44" s="4">
        <v>7E-39</v>
      </c>
      <c r="S44" s="3">
        <v>140</v>
      </c>
      <c r="T44" s="3">
        <v>58.12</v>
      </c>
      <c r="U44" t="s">
        <v>506</v>
      </c>
      <c r="V44">
        <v>0</v>
      </c>
      <c r="W44">
        <v>95.67</v>
      </c>
      <c r="X44" s="3" t="s">
        <v>448</v>
      </c>
      <c r="Y44" s="3" t="s">
        <v>455</v>
      </c>
      <c r="Z44" s="3" t="s">
        <v>456</v>
      </c>
    </row>
    <row r="45" spans="1:26" s="1" customFormat="1" x14ac:dyDescent="0.25">
      <c r="A45" s="3" t="s">
        <v>123</v>
      </c>
      <c r="B45" s="3">
        <v>2</v>
      </c>
      <c r="C45" s="3">
        <f t="shared" si="0"/>
        <v>1</v>
      </c>
      <c r="D45" s="3">
        <v>435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124</v>
      </c>
      <c r="K45" s="3" t="s">
        <v>125</v>
      </c>
      <c r="L45" s="4">
        <v>1E-8</v>
      </c>
      <c r="M45" s="3">
        <v>71.3</v>
      </c>
      <c r="N45" s="3">
        <v>84.51</v>
      </c>
      <c r="O45" s="3" t="s">
        <v>126</v>
      </c>
      <c r="P45" s="3" t="s">
        <v>414</v>
      </c>
      <c r="Q45" s="3" t="s">
        <v>438</v>
      </c>
      <c r="R45" s="4">
        <v>9.9999999999999996E-39</v>
      </c>
      <c r="S45" s="3">
        <v>152</v>
      </c>
      <c r="T45" s="3">
        <v>51.06</v>
      </c>
      <c r="U45" t="s">
        <v>482</v>
      </c>
      <c r="V45" s="8">
        <v>3.0000000000000002E-106</v>
      </c>
      <c r="W45">
        <v>83.41</v>
      </c>
      <c r="X45" s="3" t="s">
        <v>448</v>
      </c>
      <c r="Y45" s="3" t="s">
        <v>455</v>
      </c>
      <c r="Z45" s="3" t="s">
        <v>456</v>
      </c>
    </row>
    <row r="46" spans="1:26" s="1" customFormat="1" x14ac:dyDescent="0.25">
      <c r="A46" s="3" t="s">
        <v>127</v>
      </c>
      <c r="B46" s="3">
        <v>8</v>
      </c>
      <c r="C46" s="3">
        <f t="shared" si="0"/>
        <v>3</v>
      </c>
      <c r="D46" s="3">
        <v>435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124</v>
      </c>
      <c r="K46" s="3" t="s">
        <v>125</v>
      </c>
      <c r="L46" s="4">
        <v>2.9999999999999998E-15</v>
      </c>
      <c r="M46" s="3">
        <v>93.5</v>
      </c>
      <c r="N46" s="3">
        <v>81.510000000000005</v>
      </c>
      <c r="O46" s="3" t="s">
        <v>126</v>
      </c>
      <c r="P46" s="3" t="s">
        <v>414</v>
      </c>
      <c r="Q46" s="3" t="s">
        <v>438</v>
      </c>
      <c r="R46" s="4">
        <v>5.0000000000000003E-38</v>
      </c>
      <c r="S46" s="3">
        <v>150</v>
      </c>
      <c r="T46" s="3">
        <v>50.35</v>
      </c>
      <c r="U46" t="s">
        <v>493</v>
      </c>
      <c r="V46" s="8">
        <v>1.9999999999999999E-102</v>
      </c>
      <c r="W46">
        <v>85.44</v>
      </c>
      <c r="X46" s="3" t="s">
        <v>448</v>
      </c>
      <c r="Y46" s="3" t="s">
        <v>455</v>
      </c>
      <c r="Z46" s="3" t="s">
        <v>456</v>
      </c>
    </row>
    <row r="47" spans="1:26" s="1" customFormat="1" x14ac:dyDescent="0.25">
      <c r="A47" s="3" t="s">
        <v>216</v>
      </c>
      <c r="B47" s="3">
        <v>2</v>
      </c>
      <c r="C47" s="3">
        <f t="shared" si="0"/>
        <v>1</v>
      </c>
      <c r="D47" s="3">
        <v>534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126</v>
      </c>
      <c r="P47" s="3" t="s">
        <v>414</v>
      </c>
      <c r="Q47" s="3" t="s">
        <v>438</v>
      </c>
      <c r="R47" s="4">
        <v>3E-37</v>
      </c>
      <c r="S47" s="3">
        <v>149</v>
      </c>
      <c r="T47" s="3">
        <v>44.92</v>
      </c>
      <c r="U47" t="s">
        <v>501</v>
      </c>
      <c r="V47">
        <v>0</v>
      </c>
      <c r="W47">
        <v>94.38</v>
      </c>
      <c r="X47" s="3" t="s">
        <v>448</v>
      </c>
      <c r="Y47" s="3" t="s">
        <v>455</v>
      </c>
      <c r="Z47" s="3" t="s">
        <v>456</v>
      </c>
    </row>
    <row r="48" spans="1:26" s="1" customFormat="1" x14ac:dyDescent="0.25">
      <c r="A48" s="3" t="s">
        <v>247</v>
      </c>
      <c r="B48" s="3">
        <v>2</v>
      </c>
      <c r="C48" s="3">
        <f t="shared" si="0"/>
        <v>1</v>
      </c>
      <c r="D48" s="3">
        <v>481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175</v>
      </c>
      <c r="P48" s="3" t="s">
        <v>398</v>
      </c>
      <c r="Q48" s="3" t="s">
        <v>438</v>
      </c>
      <c r="R48" s="4">
        <v>9.9999999999999994E-37</v>
      </c>
      <c r="S48" s="3">
        <v>139</v>
      </c>
      <c r="T48" s="3">
        <v>40</v>
      </c>
      <c r="U48" t="s">
        <v>495</v>
      </c>
      <c r="V48">
        <v>0</v>
      </c>
      <c r="W48">
        <v>93.95</v>
      </c>
      <c r="X48" s="3" t="s">
        <v>448</v>
      </c>
      <c r="Y48" s="3" t="s">
        <v>455</v>
      </c>
      <c r="Z48" s="3" t="s">
        <v>456</v>
      </c>
    </row>
    <row r="49" spans="1:26" s="1" customFormat="1" x14ac:dyDescent="0.25">
      <c r="A49" s="3" t="s">
        <v>190</v>
      </c>
      <c r="B49" s="3">
        <v>7</v>
      </c>
      <c r="C49" s="3">
        <f t="shared" si="0"/>
        <v>2.8073549220576042</v>
      </c>
      <c r="D49" s="3">
        <v>644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161</v>
      </c>
      <c r="P49" s="3" t="s">
        <v>425</v>
      </c>
      <c r="Q49" s="3" t="s">
        <v>438</v>
      </c>
      <c r="R49" s="4">
        <v>3.9999999999999997E-34</v>
      </c>
      <c r="S49" s="3">
        <v>141</v>
      </c>
      <c r="T49" s="3">
        <v>37.39</v>
      </c>
      <c r="U49" t="s">
        <v>507</v>
      </c>
      <c r="V49">
        <v>0</v>
      </c>
      <c r="W49">
        <v>91.44</v>
      </c>
      <c r="X49" s="3" t="s">
        <v>448</v>
      </c>
      <c r="Y49" s="3" t="s">
        <v>455</v>
      </c>
      <c r="Z49" s="3" t="s">
        <v>456</v>
      </c>
    </row>
    <row r="50" spans="1:26" s="1" customFormat="1" x14ac:dyDescent="0.25">
      <c r="A50" s="3" t="s">
        <v>393</v>
      </c>
      <c r="B50" s="3">
        <v>2</v>
      </c>
      <c r="C50" s="3">
        <f t="shared" si="0"/>
        <v>1</v>
      </c>
      <c r="D50" s="3">
        <v>236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241</v>
      </c>
      <c r="P50" s="3" t="s">
        <v>425</v>
      </c>
      <c r="Q50" s="3" t="s">
        <v>438</v>
      </c>
      <c r="R50" s="4">
        <v>9.9999999999999994E-30</v>
      </c>
      <c r="S50" s="3">
        <v>122</v>
      </c>
      <c r="T50" s="3">
        <v>69.23</v>
      </c>
      <c r="U50" t="s">
        <v>499</v>
      </c>
      <c r="V50" s="8">
        <v>3.0000000000000001E-74</v>
      </c>
      <c r="W50">
        <v>88.79</v>
      </c>
      <c r="X50" s="3" t="s">
        <v>448</v>
      </c>
      <c r="Y50" s="3" t="s">
        <v>455</v>
      </c>
      <c r="Z50" s="3" t="s">
        <v>456</v>
      </c>
    </row>
    <row r="51" spans="1:26" s="1" customFormat="1" x14ac:dyDescent="0.25">
      <c r="A51" s="3" t="s">
        <v>259</v>
      </c>
      <c r="B51" s="3">
        <v>10.26</v>
      </c>
      <c r="C51" s="3">
        <f t="shared" si="0"/>
        <v>3.3589588258323295</v>
      </c>
      <c r="D51" s="3">
        <v>443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175</v>
      </c>
      <c r="P51" s="3" t="s">
        <v>398</v>
      </c>
      <c r="Q51" s="3" t="s">
        <v>438</v>
      </c>
      <c r="R51" s="4">
        <v>1.9999999999999999E-29</v>
      </c>
      <c r="S51" s="3">
        <v>120</v>
      </c>
      <c r="T51" s="3">
        <v>38.57</v>
      </c>
      <c r="U51" t="s">
        <v>519</v>
      </c>
      <c r="V51">
        <v>0</v>
      </c>
      <c r="W51">
        <v>93.68</v>
      </c>
      <c r="X51" s="3" t="s">
        <v>448</v>
      </c>
      <c r="Y51" s="3" t="s">
        <v>455</v>
      </c>
      <c r="Z51" s="3" t="s">
        <v>456</v>
      </c>
    </row>
    <row r="52" spans="1:26" s="1" customFormat="1" x14ac:dyDescent="0.25">
      <c r="A52" s="3" t="s">
        <v>204</v>
      </c>
      <c r="B52" s="3">
        <v>7</v>
      </c>
      <c r="C52" s="3">
        <f t="shared" si="0"/>
        <v>2.8073549220576042</v>
      </c>
      <c r="D52" s="3">
        <v>558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205</v>
      </c>
      <c r="P52" s="3" t="s">
        <v>425</v>
      </c>
      <c r="Q52" s="3" t="s">
        <v>438</v>
      </c>
      <c r="R52" s="4">
        <v>3E-28</v>
      </c>
      <c r="S52" s="3">
        <v>114</v>
      </c>
      <c r="T52" s="3">
        <v>40</v>
      </c>
      <c r="U52" t="s">
        <v>501</v>
      </c>
      <c r="V52">
        <v>0</v>
      </c>
      <c r="W52">
        <v>94.33</v>
      </c>
      <c r="X52" s="3" t="s">
        <v>448</v>
      </c>
      <c r="Y52" s="3" t="s">
        <v>455</v>
      </c>
      <c r="Z52" s="3" t="s">
        <v>456</v>
      </c>
    </row>
    <row r="53" spans="1:26" s="1" customFormat="1" x14ac:dyDescent="0.25">
      <c r="A53" s="3" t="s">
        <v>351</v>
      </c>
      <c r="B53" s="3">
        <v>1</v>
      </c>
      <c r="C53" s="3">
        <f t="shared" si="0"/>
        <v>0</v>
      </c>
      <c r="D53" s="3">
        <v>283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129</v>
      </c>
      <c r="P53" s="3" t="s">
        <v>415</v>
      </c>
      <c r="Q53" s="3" t="s">
        <v>438</v>
      </c>
      <c r="R53" s="4">
        <v>3.0000000000000001E-27</v>
      </c>
      <c r="S53" s="3">
        <v>110</v>
      </c>
      <c r="T53" s="3">
        <v>71.64</v>
      </c>
      <c r="U53" t="s">
        <v>496</v>
      </c>
      <c r="V53" s="8">
        <v>6.9999999999999995E-51</v>
      </c>
      <c r="W53">
        <v>93.48</v>
      </c>
      <c r="X53" s="3" t="s">
        <v>448</v>
      </c>
      <c r="Y53" s="3" t="s">
        <v>455</v>
      </c>
      <c r="Z53" s="3" t="s">
        <v>456</v>
      </c>
    </row>
    <row r="54" spans="1:26" s="1" customFormat="1" x14ac:dyDescent="0.25">
      <c r="A54" s="3" t="s">
        <v>199</v>
      </c>
      <c r="B54" s="3">
        <v>4.93</v>
      </c>
      <c r="C54" s="3">
        <f t="shared" si="0"/>
        <v>2.301587646603187</v>
      </c>
      <c r="D54" s="3">
        <v>572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161</v>
      </c>
      <c r="P54" s="3" t="s">
        <v>425</v>
      </c>
      <c r="Q54" s="3" t="s">
        <v>438</v>
      </c>
      <c r="R54" s="4">
        <v>1E-25</v>
      </c>
      <c r="S54" s="3">
        <v>116</v>
      </c>
      <c r="T54" s="3">
        <v>35.68</v>
      </c>
      <c r="U54" t="s">
        <v>493</v>
      </c>
      <c r="V54">
        <v>0</v>
      </c>
      <c r="W54">
        <v>92.76</v>
      </c>
      <c r="X54" s="3" t="s">
        <v>448</v>
      </c>
      <c r="Y54" s="3" t="s">
        <v>455</v>
      </c>
      <c r="Z54" s="3" t="s">
        <v>456</v>
      </c>
    </row>
    <row r="55" spans="1:26" s="1" customFormat="1" x14ac:dyDescent="0.25">
      <c r="A55" s="3" t="s">
        <v>198</v>
      </c>
      <c r="B55" s="3">
        <v>11.07</v>
      </c>
      <c r="C55" s="3">
        <f t="shared" si="0"/>
        <v>3.4685833170068281</v>
      </c>
      <c r="D55" s="3">
        <v>609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161</v>
      </c>
      <c r="P55" s="3" t="s">
        <v>425</v>
      </c>
      <c r="Q55" s="3" t="s">
        <v>438</v>
      </c>
      <c r="R55" s="4">
        <v>4.0000000000000002E-25</v>
      </c>
      <c r="S55" s="3">
        <v>115</v>
      </c>
      <c r="T55" s="3">
        <v>35.14</v>
      </c>
      <c r="U55" t="s">
        <v>493</v>
      </c>
      <c r="V55">
        <v>0</v>
      </c>
      <c r="W55">
        <v>93.15</v>
      </c>
      <c r="X55" s="3" t="s">
        <v>448</v>
      </c>
      <c r="Y55" s="3" t="s">
        <v>455</v>
      </c>
      <c r="Z55" s="3" t="s">
        <v>456</v>
      </c>
    </row>
    <row r="56" spans="1:26" s="1" customFormat="1" x14ac:dyDescent="0.25">
      <c r="A56" s="3" t="s">
        <v>184</v>
      </c>
      <c r="B56" s="3">
        <v>19.79</v>
      </c>
      <c r="C56" s="3">
        <f t="shared" si="0"/>
        <v>4.3066997072727879</v>
      </c>
      <c r="D56" s="3">
        <v>702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185</v>
      </c>
      <c r="P56" s="3" t="s">
        <v>403</v>
      </c>
      <c r="Q56" s="3" t="s">
        <v>438</v>
      </c>
      <c r="R56" s="4">
        <v>9.9999999999999992E-25</v>
      </c>
      <c r="S56" s="3">
        <v>114</v>
      </c>
      <c r="T56" s="3">
        <v>41.07</v>
      </c>
      <c r="U56" t="s">
        <v>496</v>
      </c>
      <c r="V56" s="8">
        <v>5E-71</v>
      </c>
      <c r="W56">
        <v>90.73</v>
      </c>
      <c r="X56" s="3" t="s">
        <v>448</v>
      </c>
      <c r="Y56" s="3" t="s">
        <v>455</v>
      </c>
      <c r="Z56" s="3" t="s">
        <v>456</v>
      </c>
    </row>
    <row r="57" spans="1:26" s="1" customFormat="1" x14ac:dyDescent="0.25">
      <c r="A57" s="3" t="s">
        <v>341</v>
      </c>
      <c r="B57" s="3">
        <v>1</v>
      </c>
      <c r="C57" s="3">
        <f t="shared" si="0"/>
        <v>0</v>
      </c>
      <c r="D57" s="3">
        <v>297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175</v>
      </c>
      <c r="P57" s="3" t="s">
        <v>398</v>
      </c>
      <c r="Q57" s="3" t="s">
        <v>438</v>
      </c>
      <c r="R57" s="4">
        <v>3.9999999999999998E-23</v>
      </c>
      <c r="S57" s="3">
        <v>101</v>
      </c>
      <c r="T57" s="3">
        <v>47.87</v>
      </c>
      <c r="U57" t="s">
        <v>491</v>
      </c>
      <c r="V57" s="8">
        <v>9.9999999999999998E-138</v>
      </c>
      <c r="W57">
        <v>96.63</v>
      </c>
      <c r="X57" s="3" t="s">
        <v>448</v>
      </c>
      <c r="Y57" s="3" t="s">
        <v>455</v>
      </c>
      <c r="Z57" s="3" t="s">
        <v>456</v>
      </c>
    </row>
    <row r="58" spans="1:26" s="1" customFormat="1" x14ac:dyDescent="0.25">
      <c r="A58" s="3" t="s">
        <v>263</v>
      </c>
      <c r="B58" s="3">
        <v>4.0999999999999996</v>
      </c>
      <c r="C58" s="3">
        <f t="shared" si="0"/>
        <v>2.0356239097307212</v>
      </c>
      <c r="D58" s="3">
        <v>418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175</v>
      </c>
      <c r="P58" s="3" t="s">
        <v>398</v>
      </c>
      <c r="Q58" s="3" t="s">
        <v>438</v>
      </c>
      <c r="R58" s="4">
        <v>1.9999999999999998E-21</v>
      </c>
      <c r="S58" s="3">
        <v>98.2</v>
      </c>
      <c r="T58" s="3">
        <v>38.020000000000003</v>
      </c>
      <c r="U58" t="s">
        <v>519</v>
      </c>
      <c r="V58" s="8">
        <v>9.0000000000000005E-151</v>
      </c>
      <c r="W58">
        <v>95.29</v>
      </c>
      <c r="X58" s="3" t="s">
        <v>448</v>
      </c>
      <c r="Y58" s="3" t="s">
        <v>455</v>
      </c>
      <c r="Z58" s="3" t="s">
        <v>456</v>
      </c>
    </row>
    <row r="59" spans="1:26" s="1" customFormat="1" x14ac:dyDescent="0.25">
      <c r="A59" s="3" t="s">
        <v>240</v>
      </c>
      <c r="B59" s="3">
        <v>2</v>
      </c>
      <c r="C59" s="3">
        <f t="shared" si="0"/>
        <v>1</v>
      </c>
      <c r="D59" s="3">
        <v>489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241</v>
      </c>
      <c r="P59" s="3" t="s">
        <v>425</v>
      </c>
      <c r="Q59" s="3" t="s">
        <v>438</v>
      </c>
      <c r="R59" s="4">
        <v>6.0000000000000006E-20</v>
      </c>
      <c r="S59" s="3">
        <v>98.6</v>
      </c>
      <c r="T59" s="3">
        <v>37.06</v>
      </c>
      <c r="U59" t="s">
        <v>488</v>
      </c>
      <c r="V59">
        <v>0</v>
      </c>
      <c r="W59">
        <v>94.66</v>
      </c>
      <c r="X59" s="3" t="s">
        <v>448</v>
      </c>
      <c r="Y59" s="3" t="s">
        <v>455</v>
      </c>
      <c r="Z59" s="3" t="s">
        <v>456</v>
      </c>
    </row>
    <row r="60" spans="1:26" s="1" customFormat="1" x14ac:dyDescent="0.25">
      <c r="A60" s="3" t="s">
        <v>389</v>
      </c>
      <c r="B60" s="3">
        <v>2</v>
      </c>
      <c r="C60" s="3">
        <f t="shared" si="0"/>
        <v>1</v>
      </c>
      <c r="D60" s="3">
        <v>242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129</v>
      </c>
      <c r="P60" s="3" t="s">
        <v>415</v>
      </c>
      <c r="Q60" s="3" t="s">
        <v>438</v>
      </c>
      <c r="R60" s="4">
        <v>7.0000000000000001E-20</v>
      </c>
      <c r="S60" s="3">
        <v>90.5</v>
      </c>
      <c r="T60" s="3">
        <v>65.52</v>
      </c>
      <c r="U60" t="s">
        <v>525</v>
      </c>
      <c r="V60" s="8">
        <v>5.9999999999999999E-16</v>
      </c>
      <c r="W60">
        <v>93.55</v>
      </c>
      <c r="X60" s="3" t="s">
        <v>448</v>
      </c>
      <c r="Y60" s="3" t="s">
        <v>455</v>
      </c>
      <c r="Z60" s="3" t="s">
        <v>456</v>
      </c>
    </row>
    <row r="61" spans="1:26" s="1" customFormat="1" x14ac:dyDescent="0.25">
      <c r="A61" s="3" t="s">
        <v>319</v>
      </c>
      <c r="B61" s="3">
        <v>2</v>
      </c>
      <c r="C61" s="3">
        <f t="shared" si="0"/>
        <v>1</v>
      </c>
      <c r="D61" s="3">
        <v>315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161</v>
      </c>
      <c r="P61" s="3" t="s">
        <v>425</v>
      </c>
      <c r="Q61" s="3" t="s">
        <v>438</v>
      </c>
      <c r="R61" s="4">
        <v>1.0000000000000001E-17</v>
      </c>
      <c r="S61" s="3">
        <v>89.4</v>
      </c>
      <c r="T61" s="3">
        <v>38.83</v>
      </c>
      <c r="U61"/>
      <c r="V61"/>
      <c r="W61"/>
      <c r="X61" s="3" t="s">
        <v>448</v>
      </c>
      <c r="Y61" s="3" t="s">
        <v>455</v>
      </c>
      <c r="Z61" s="3" t="s">
        <v>456</v>
      </c>
    </row>
    <row r="62" spans="1:26" s="1" customFormat="1" x14ac:dyDescent="0.25">
      <c r="A62" s="3" t="s">
        <v>382</v>
      </c>
      <c r="B62" s="3">
        <v>1</v>
      </c>
      <c r="C62" s="3">
        <f t="shared" si="0"/>
        <v>0</v>
      </c>
      <c r="D62" s="3">
        <v>248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175</v>
      </c>
      <c r="P62" s="3" t="s">
        <v>398</v>
      </c>
      <c r="Q62" s="3" t="s">
        <v>438</v>
      </c>
      <c r="R62" s="4">
        <v>2E-16</v>
      </c>
      <c r="S62" s="3">
        <v>81.599999999999994</v>
      </c>
      <c r="T62" s="3">
        <v>45.12</v>
      </c>
      <c r="U62" t="s">
        <v>495</v>
      </c>
      <c r="V62" s="8">
        <v>2E-125</v>
      </c>
      <c r="W62">
        <v>99.6</v>
      </c>
      <c r="X62" s="3" t="s">
        <v>448</v>
      </c>
      <c r="Y62" s="3" t="s">
        <v>455</v>
      </c>
      <c r="Z62" s="3" t="s">
        <v>456</v>
      </c>
    </row>
    <row r="63" spans="1:26" s="1" customFormat="1" x14ac:dyDescent="0.25">
      <c r="A63" s="3" t="s">
        <v>286</v>
      </c>
      <c r="B63" s="3">
        <v>1</v>
      </c>
      <c r="C63" s="3">
        <f t="shared" si="0"/>
        <v>0</v>
      </c>
      <c r="D63" s="3">
        <v>362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287</v>
      </c>
      <c r="P63" s="3" t="s">
        <v>398</v>
      </c>
      <c r="Q63" s="3" t="s">
        <v>438</v>
      </c>
      <c r="R63" s="4">
        <v>4.0000000000000001E-13</v>
      </c>
      <c r="S63" s="3">
        <v>74.7</v>
      </c>
      <c r="T63" s="3">
        <v>53.7</v>
      </c>
      <c r="U63" t="s">
        <v>502</v>
      </c>
      <c r="V63" s="8">
        <v>7.0000000000000001E-52</v>
      </c>
      <c r="W63">
        <v>89.29</v>
      </c>
      <c r="X63" s="3" t="s">
        <v>448</v>
      </c>
      <c r="Y63" s="3" t="s">
        <v>455</v>
      </c>
      <c r="Z63" s="3" t="s">
        <v>456</v>
      </c>
    </row>
    <row r="64" spans="1:26" s="1" customFormat="1" x14ac:dyDescent="0.25">
      <c r="A64" s="3" t="s">
        <v>203</v>
      </c>
      <c r="B64" s="3">
        <v>4</v>
      </c>
      <c r="C64" s="3">
        <f t="shared" si="0"/>
        <v>2</v>
      </c>
      <c r="D64" s="3">
        <v>559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185</v>
      </c>
      <c r="P64" s="3" t="s">
        <v>403</v>
      </c>
      <c r="Q64" s="3" t="s">
        <v>438</v>
      </c>
      <c r="R64" s="4">
        <v>9.9999999999999994E-12</v>
      </c>
      <c r="S64" s="3">
        <v>74.7</v>
      </c>
      <c r="T64" s="3">
        <v>53.7</v>
      </c>
      <c r="U64" t="s">
        <v>533</v>
      </c>
      <c r="V64" s="8">
        <v>1.9999999999999999E-103</v>
      </c>
      <c r="W64">
        <v>85.37</v>
      </c>
      <c r="X64" s="3" t="s">
        <v>448</v>
      </c>
      <c r="Y64" s="3" t="s">
        <v>455</v>
      </c>
      <c r="Z64" s="3" t="s">
        <v>456</v>
      </c>
    </row>
    <row r="65" spans="1:26" s="1" customFormat="1" x14ac:dyDescent="0.25">
      <c r="A65" s="3" t="s">
        <v>258</v>
      </c>
      <c r="B65" s="3">
        <v>1.94</v>
      </c>
      <c r="C65" s="3">
        <f t="shared" si="0"/>
        <v>0.95605665241240301</v>
      </c>
      <c r="D65" s="3">
        <v>444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175</v>
      </c>
      <c r="P65" s="3" t="s">
        <v>398</v>
      </c>
      <c r="Q65" s="3" t="s">
        <v>438</v>
      </c>
      <c r="R65" s="4">
        <v>3.9999999999999998E-11</v>
      </c>
      <c r="S65" s="3">
        <v>69.3</v>
      </c>
      <c r="T65" s="3">
        <v>46.15</v>
      </c>
      <c r="U65" t="s">
        <v>499</v>
      </c>
      <c r="V65" s="8">
        <v>5.0000000000000003E-64</v>
      </c>
      <c r="W65">
        <v>84.09</v>
      </c>
      <c r="X65" s="3" t="s">
        <v>448</v>
      </c>
      <c r="Y65" s="3" t="s">
        <v>455</v>
      </c>
      <c r="Z65" s="3" t="s">
        <v>456</v>
      </c>
    </row>
    <row r="66" spans="1:26" s="1" customFormat="1" x14ac:dyDescent="0.25">
      <c r="A66" s="3" t="s">
        <v>366</v>
      </c>
      <c r="B66" s="3">
        <v>2.63</v>
      </c>
      <c r="C66" s="3">
        <f t="shared" si="0"/>
        <v>1.3950627995175777</v>
      </c>
      <c r="D66" s="3">
        <v>270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175</v>
      </c>
      <c r="P66" s="3" t="s">
        <v>398</v>
      </c>
      <c r="Q66" s="3" t="s">
        <v>438</v>
      </c>
      <c r="R66" s="4">
        <v>3.9999999999999998E-11</v>
      </c>
      <c r="S66" s="3">
        <v>67.400000000000006</v>
      </c>
      <c r="T66" s="3">
        <v>33.729999999999997</v>
      </c>
      <c r="U66" t="s">
        <v>493</v>
      </c>
      <c r="V66" s="8">
        <v>3.0000000000000002E-104</v>
      </c>
      <c r="W66">
        <v>92.22</v>
      </c>
      <c r="X66" s="3" t="s">
        <v>448</v>
      </c>
      <c r="Y66" s="3" t="s">
        <v>455</v>
      </c>
      <c r="Z66" s="3" t="s">
        <v>456</v>
      </c>
    </row>
    <row r="67" spans="1:26" s="1" customFormat="1" x14ac:dyDescent="0.25">
      <c r="A67" s="3" t="s">
        <v>354</v>
      </c>
      <c r="B67" s="3">
        <v>2</v>
      </c>
      <c r="C67" s="3">
        <f t="shared" ref="C67:C130" si="1">LOG(B67,2)</f>
        <v>1</v>
      </c>
      <c r="D67" s="3">
        <v>275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110</v>
      </c>
      <c r="K67" s="3" t="s">
        <v>111</v>
      </c>
      <c r="L67" s="4">
        <v>4.0000000000000002E-26</v>
      </c>
      <c r="M67" s="3">
        <v>128</v>
      </c>
      <c r="N67" s="3">
        <v>100</v>
      </c>
      <c r="O67" s="3" t="s">
        <v>355</v>
      </c>
      <c r="P67" s="3" t="s">
        <v>398</v>
      </c>
      <c r="Q67" s="3" t="s">
        <v>438</v>
      </c>
      <c r="R67" s="4">
        <v>2.0000000000000001E-10</v>
      </c>
      <c r="S67" s="3">
        <v>64.7</v>
      </c>
      <c r="T67" s="3">
        <v>68.180000000000007</v>
      </c>
      <c r="U67"/>
      <c r="V67"/>
      <c r="W67"/>
      <c r="X67" s="3" t="s">
        <v>448</v>
      </c>
      <c r="Y67" s="3" t="s">
        <v>455</v>
      </c>
      <c r="Z67" s="3" t="s">
        <v>456</v>
      </c>
    </row>
    <row r="68" spans="1:26" s="1" customFormat="1" x14ac:dyDescent="0.25">
      <c r="A68" s="3" t="s">
        <v>378</v>
      </c>
      <c r="B68" s="3">
        <v>3</v>
      </c>
      <c r="C68" s="3">
        <f t="shared" si="1"/>
        <v>1.5849625007211563</v>
      </c>
      <c r="D68" s="3">
        <v>250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163</v>
      </c>
      <c r="P68" s="3" t="s">
        <v>398</v>
      </c>
      <c r="Q68" s="3" t="s">
        <v>438</v>
      </c>
      <c r="R68" s="4">
        <v>2.0000000000000001E-10</v>
      </c>
      <c r="S68" s="3">
        <v>65.099999999999994</v>
      </c>
      <c r="T68" s="3">
        <v>41.25</v>
      </c>
      <c r="U68" t="s">
        <v>488</v>
      </c>
      <c r="V68" s="8">
        <v>2.9999999999999998E-128</v>
      </c>
      <c r="W68">
        <v>100</v>
      </c>
      <c r="X68" s="3" t="s">
        <v>448</v>
      </c>
      <c r="Y68" s="3" t="s">
        <v>455</v>
      </c>
      <c r="Z68" s="3" t="s">
        <v>456</v>
      </c>
    </row>
    <row r="69" spans="1:26" s="1" customFormat="1" x14ac:dyDescent="0.25">
      <c r="A69" s="3" t="s">
        <v>238</v>
      </c>
      <c r="B69" s="3">
        <v>1</v>
      </c>
      <c r="C69" s="3">
        <f t="shared" si="1"/>
        <v>0</v>
      </c>
      <c r="D69" s="3">
        <v>495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175</v>
      </c>
      <c r="P69" s="3" t="s">
        <v>398</v>
      </c>
      <c r="Q69" s="3" t="s">
        <v>438</v>
      </c>
      <c r="R69" s="4">
        <v>1E-8</v>
      </c>
      <c r="S69" s="3">
        <v>62.8</v>
      </c>
      <c r="T69" s="3">
        <v>48.48</v>
      </c>
      <c r="U69" t="s">
        <v>496</v>
      </c>
      <c r="V69" s="8">
        <v>4.9999999999999999E-114</v>
      </c>
      <c r="W69">
        <v>89.6</v>
      </c>
      <c r="X69" s="3" t="s">
        <v>448</v>
      </c>
      <c r="Y69" s="3" t="s">
        <v>455</v>
      </c>
      <c r="Z69" s="3" t="s">
        <v>456</v>
      </c>
    </row>
    <row r="70" spans="1:26" s="1" customFormat="1" x14ac:dyDescent="0.25">
      <c r="A70" s="3" t="s">
        <v>219</v>
      </c>
      <c r="B70" s="3">
        <v>6.12</v>
      </c>
      <c r="C70" s="3">
        <f t="shared" si="1"/>
        <v>2.6135316529179273</v>
      </c>
      <c r="D70" s="3">
        <v>523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205</v>
      </c>
      <c r="P70" s="3" t="s">
        <v>425</v>
      </c>
      <c r="Q70" s="3" t="s">
        <v>438</v>
      </c>
      <c r="R70" s="4">
        <v>9.9999999999999995E-7</v>
      </c>
      <c r="S70" s="3">
        <v>55.5</v>
      </c>
      <c r="T70" s="3">
        <v>46.77</v>
      </c>
      <c r="U70" t="s">
        <v>528</v>
      </c>
      <c r="V70" s="8">
        <v>6E-79</v>
      </c>
      <c r="W70">
        <v>94.79</v>
      </c>
      <c r="X70" s="3" t="s">
        <v>448</v>
      </c>
      <c r="Y70" s="3" t="s">
        <v>455</v>
      </c>
      <c r="Z70" s="3" t="s">
        <v>456</v>
      </c>
    </row>
    <row r="71" spans="1:26" s="1" customFormat="1" x14ac:dyDescent="0.25">
      <c r="A71" s="3" t="s">
        <v>289</v>
      </c>
      <c r="B71" s="3">
        <v>6</v>
      </c>
      <c r="C71" s="3">
        <f t="shared" si="1"/>
        <v>2.5849625007211561</v>
      </c>
      <c r="D71" s="3">
        <v>354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185</v>
      </c>
      <c r="P71" s="3" t="s">
        <v>403</v>
      </c>
      <c r="Q71" s="3" t="s">
        <v>438</v>
      </c>
      <c r="R71" s="4">
        <v>7.9999999999999996E-6</v>
      </c>
      <c r="S71" s="3">
        <v>55.1</v>
      </c>
      <c r="T71" s="3">
        <v>35.049999999999997</v>
      </c>
      <c r="U71" t="s">
        <v>512</v>
      </c>
      <c r="V71" s="8">
        <v>2.9999999999999998E-165</v>
      </c>
      <c r="W71">
        <v>98.21</v>
      </c>
      <c r="X71" s="3" t="s">
        <v>448</v>
      </c>
      <c r="Y71" s="3" t="s">
        <v>455</v>
      </c>
      <c r="Z71" s="3" t="s">
        <v>456</v>
      </c>
    </row>
    <row r="72" spans="1:26" s="1" customFormat="1" x14ac:dyDescent="0.25">
      <c r="A72" s="3" t="s">
        <v>158</v>
      </c>
      <c r="B72" s="3">
        <v>16</v>
      </c>
      <c r="C72" s="3">
        <f t="shared" si="1"/>
        <v>4</v>
      </c>
      <c r="D72" s="3">
        <v>971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159</v>
      </c>
      <c r="P72" s="3" t="s">
        <v>419</v>
      </c>
      <c r="Q72" s="3" t="s">
        <v>440</v>
      </c>
      <c r="R72" s="4">
        <v>2.0000000000000001E-17</v>
      </c>
      <c r="S72" s="3">
        <v>90.9</v>
      </c>
      <c r="T72" s="3">
        <v>31.36</v>
      </c>
      <c r="U72" t="s">
        <v>486</v>
      </c>
      <c r="V72">
        <v>0</v>
      </c>
      <c r="W72">
        <v>96.81</v>
      </c>
      <c r="X72" s="3" t="s">
        <v>448</v>
      </c>
      <c r="Y72" s="3" t="s">
        <v>452</v>
      </c>
      <c r="Z72" s="3" t="s">
        <v>452</v>
      </c>
    </row>
    <row r="73" spans="1:26" s="1" customFormat="1" x14ac:dyDescent="0.25">
      <c r="A73" s="3" t="s">
        <v>364</v>
      </c>
      <c r="B73" s="3">
        <v>1</v>
      </c>
      <c r="C73" s="3">
        <f t="shared" si="1"/>
        <v>0</v>
      </c>
      <c r="D73" s="3">
        <v>272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230</v>
      </c>
      <c r="P73" s="3" t="s">
        <v>445</v>
      </c>
      <c r="Q73" s="3" t="s">
        <v>441</v>
      </c>
      <c r="R73" s="4">
        <v>1.0000000000000001E-9</v>
      </c>
      <c r="S73" s="3">
        <v>64.3</v>
      </c>
      <c r="T73" s="3">
        <v>50.77</v>
      </c>
      <c r="U73" t="s">
        <v>487</v>
      </c>
      <c r="V73" s="8">
        <v>4.9999999999999997E-37</v>
      </c>
      <c r="W73">
        <v>80.09</v>
      </c>
      <c r="X73" s="3" t="s">
        <v>448</v>
      </c>
      <c r="Y73" s="3" t="s">
        <v>455</v>
      </c>
      <c r="Z73" s="3" t="s">
        <v>456</v>
      </c>
    </row>
    <row r="74" spans="1:26" s="1" customFormat="1" x14ac:dyDescent="0.25">
      <c r="A74" s="3" t="s">
        <v>394</v>
      </c>
      <c r="B74" s="3">
        <v>2</v>
      </c>
      <c r="C74" s="3">
        <f t="shared" si="1"/>
        <v>1</v>
      </c>
      <c r="D74" s="3">
        <v>233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224</v>
      </c>
      <c r="P74" s="3" t="s">
        <v>403</v>
      </c>
      <c r="Q74" s="3" t="s">
        <v>441</v>
      </c>
      <c r="R74" s="4">
        <v>4.0000000000000001E-8</v>
      </c>
      <c r="S74" s="3">
        <v>60.8</v>
      </c>
      <c r="T74" s="3">
        <v>48</v>
      </c>
      <c r="U74" t="s">
        <v>495</v>
      </c>
      <c r="V74" s="8">
        <v>2.0000000000000001E-110</v>
      </c>
      <c r="W74">
        <v>97.85</v>
      </c>
      <c r="X74" s="3" t="s">
        <v>448</v>
      </c>
      <c r="Y74" s="3" t="s">
        <v>455</v>
      </c>
      <c r="Z74" s="3" t="s">
        <v>456</v>
      </c>
    </row>
    <row r="75" spans="1:26" s="1" customFormat="1" x14ac:dyDescent="0.25">
      <c r="A75" s="3" t="s">
        <v>223</v>
      </c>
      <c r="B75" s="3">
        <v>17</v>
      </c>
      <c r="C75" s="3">
        <f t="shared" si="1"/>
        <v>4.08746284125034</v>
      </c>
      <c r="D75" s="3">
        <v>517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224</v>
      </c>
      <c r="P75" s="3" t="s">
        <v>403</v>
      </c>
      <c r="Q75" s="3" t="s">
        <v>441</v>
      </c>
      <c r="R75" s="4">
        <v>1.9999999999999999E-7</v>
      </c>
      <c r="S75" s="3">
        <v>60.8</v>
      </c>
      <c r="T75" s="3">
        <v>47.95</v>
      </c>
      <c r="U75" t="s">
        <v>493</v>
      </c>
      <c r="V75" s="8">
        <v>1.9999999999999999E-94</v>
      </c>
      <c r="W75">
        <v>95.45</v>
      </c>
      <c r="X75" s="3" t="s">
        <v>448</v>
      </c>
      <c r="Y75" s="3" t="s">
        <v>455</v>
      </c>
      <c r="Z75" s="3" t="s">
        <v>456</v>
      </c>
    </row>
    <row r="76" spans="1:26" s="1" customFormat="1" x14ac:dyDescent="0.25">
      <c r="A76" s="3" t="s">
        <v>229</v>
      </c>
      <c r="B76" s="3">
        <v>15</v>
      </c>
      <c r="C76" s="3">
        <f t="shared" si="1"/>
        <v>3.9068905956085187</v>
      </c>
      <c r="D76" s="3">
        <v>516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230</v>
      </c>
      <c r="P76" s="3" t="s">
        <v>445</v>
      </c>
      <c r="Q76" s="3" t="s">
        <v>441</v>
      </c>
      <c r="R76" s="4">
        <v>2.0000000000000001E-10</v>
      </c>
      <c r="S76" s="3">
        <v>69.3</v>
      </c>
      <c r="T76" s="3">
        <v>49.38</v>
      </c>
      <c r="U76" t="s">
        <v>493</v>
      </c>
      <c r="V76" s="8">
        <v>2E-167</v>
      </c>
      <c r="W76">
        <v>87.4</v>
      </c>
      <c r="X76" s="3" t="s">
        <v>448</v>
      </c>
      <c r="Y76" s="3" t="s">
        <v>455</v>
      </c>
      <c r="Z76" s="3" t="s">
        <v>456</v>
      </c>
    </row>
    <row r="77" spans="1:26" s="1" customFormat="1" x14ac:dyDescent="0.25">
      <c r="A77" s="3" t="s">
        <v>244</v>
      </c>
      <c r="B77" s="3">
        <v>3</v>
      </c>
      <c r="C77" s="3">
        <f t="shared" si="1"/>
        <v>1.5849625007211563</v>
      </c>
      <c r="D77" s="3">
        <v>487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245</v>
      </c>
      <c r="P77" s="3" t="s">
        <v>400</v>
      </c>
      <c r="Q77" s="3" t="s">
        <v>442</v>
      </c>
      <c r="R77" s="4">
        <v>3.0000000000000001E-72</v>
      </c>
      <c r="S77" s="3">
        <v>249</v>
      </c>
      <c r="T77" s="3">
        <v>65.430000000000007</v>
      </c>
      <c r="U77" t="s">
        <v>507</v>
      </c>
      <c r="V77">
        <v>0</v>
      </c>
      <c r="W77">
        <v>97.33</v>
      </c>
      <c r="X77" s="3" t="s">
        <v>448</v>
      </c>
      <c r="Y77" s="3" t="s">
        <v>455</v>
      </c>
      <c r="Z77" s="3" t="s">
        <v>456</v>
      </c>
    </row>
    <row r="78" spans="1:26" s="1" customFormat="1" x14ac:dyDescent="0.25">
      <c r="A78" s="3" t="s">
        <v>236</v>
      </c>
      <c r="B78" s="3">
        <v>5</v>
      </c>
      <c r="C78" s="3">
        <f t="shared" si="1"/>
        <v>2.3219280948873622</v>
      </c>
      <c r="D78" s="3">
        <v>503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237</v>
      </c>
      <c r="P78" s="3" t="s">
        <v>400</v>
      </c>
      <c r="Q78" s="3" t="s">
        <v>442</v>
      </c>
      <c r="R78" s="4">
        <v>1E-70</v>
      </c>
      <c r="S78" s="3">
        <v>244</v>
      </c>
      <c r="T78" s="3">
        <v>63.98</v>
      </c>
      <c r="U78" t="s">
        <v>515</v>
      </c>
      <c r="V78" s="8">
        <v>9.9999999999999996E-76</v>
      </c>
      <c r="W78">
        <v>81.03</v>
      </c>
      <c r="X78" s="3" t="s">
        <v>448</v>
      </c>
      <c r="Y78" s="3" t="s">
        <v>455</v>
      </c>
      <c r="Z78" s="3" t="s">
        <v>456</v>
      </c>
    </row>
    <row r="79" spans="1:26" s="1" customFormat="1" x14ac:dyDescent="0.25">
      <c r="A79" s="3" t="s">
        <v>36</v>
      </c>
      <c r="B79" s="3">
        <v>24</v>
      </c>
      <c r="C79" s="3">
        <f t="shared" si="1"/>
        <v>4.584962500721157</v>
      </c>
      <c r="D79" s="3">
        <v>474</v>
      </c>
      <c r="E79" s="3" t="s">
        <v>37</v>
      </c>
      <c r="F79" s="3" t="s">
        <v>38</v>
      </c>
      <c r="G79" s="4">
        <v>3.9999999999999999E-16</v>
      </c>
      <c r="H79" s="3">
        <v>87.9</v>
      </c>
      <c r="I79" s="3">
        <v>94.64</v>
      </c>
      <c r="J79" s="3" t="s">
        <v>39</v>
      </c>
      <c r="K79" s="3" t="s">
        <v>38</v>
      </c>
      <c r="L79" s="4">
        <v>1E-13</v>
      </c>
      <c r="M79" s="3">
        <v>87.9</v>
      </c>
      <c r="N79" s="3">
        <v>94.64</v>
      </c>
      <c r="O79" s="3" t="s">
        <v>40</v>
      </c>
      <c r="P79" s="3" t="s">
        <v>400</v>
      </c>
      <c r="Q79" s="3" t="s">
        <v>434</v>
      </c>
      <c r="R79" s="4">
        <v>4E-79</v>
      </c>
      <c r="S79" s="3">
        <v>268</v>
      </c>
      <c r="T79" s="3">
        <v>73.89</v>
      </c>
      <c r="U79" t="s">
        <v>506</v>
      </c>
      <c r="V79">
        <v>0</v>
      </c>
      <c r="W79">
        <v>96.41</v>
      </c>
      <c r="X79" s="3" t="s">
        <v>448</v>
      </c>
      <c r="Y79" s="3" t="s">
        <v>462</v>
      </c>
      <c r="Z79" s="3" t="s">
        <v>456</v>
      </c>
    </row>
    <row r="80" spans="1:26" s="1" customFormat="1" x14ac:dyDescent="0.25">
      <c r="A80" s="3" t="s">
        <v>41</v>
      </c>
      <c r="B80" s="3">
        <v>12</v>
      </c>
      <c r="C80" s="3">
        <f t="shared" si="1"/>
        <v>3.5849625007211565</v>
      </c>
      <c r="D80" s="3">
        <v>413</v>
      </c>
      <c r="E80" s="3" t="s">
        <v>42</v>
      </c>
      <c r="F80" s="3" t="s">
        <v>43</v>
      </c>
      <c r="G80" s="4">
        <v>1E-10</v>
      </c>
      <c r="H80" s="3">
        <v>69.400000000000006</v>
      </c>
      <c r="I80" s="3">
        <v>91.84</v>
      </c>
      <c r="J80" s="3" t="s">
        <v>44</v>
      </c>
      <c r="K80" s="3" t="s">
        <v>45</v>
      </c>
      <c r="L80" s="4">
        <v>4.0000000000000001E-8</v>
      </c>
      <c r="M80" s="3">
        <v>69.400000000000006</v>
      </c>
      <c r="N80" s="3">
        <v>91.84</v>
      </c>
      <c r="O80" s="3" t="s">
        <v>46</v>
      </c>
      <c r="P80" s="3" t="s">
        <v>400</v>
      </c>
      <c r="Q80" s="3" t="s">
        <v>434</v>
      </c>
      <c r="R80" s="4">
        <v>6.0000000000000004E-66</v>
      </c>
      <c r="S80" s="3">
        <v>229</v>
      </c>
      <c r="T80" s="3">
        <v>72.260000000000005</v>
      </c>
      <c r="U80" t="s">
        <v>494</v>
      </c>
      <c r="V80">
        <v>0</v>
      </c>
      <c r="W80">
        <v>99.52</v>
      </c>
      <c r="X80" s="3" t="s">
        <v>448</v>
      </c>
      <c r="Y80" s="3" t="s">
        <v>462</v>
      </c>
      <c r="Z80" s="3" t="s">
        <v>456</v>
      </c>
    </row>
    <row r="81" spans="1:26" s="1" customFormat="1" x14ac:dyDescent="0.25">
      <c r="A81" s="3" t="s">
        <v>273</v>
      </c>
      <c r="B81" s="3">
        <v>4</v>
      </c>
      <c r="C81" s="3">
        <f t="shared" si="1"/>
        <v>2</v>
      </c>
      <c r="D81" s="3">
        <v>387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46</v>
      </c>
      <c r="P81" s="3" t="s">
        <v>400</v>
      </c>
      <c r="Q81" s="3" t="s">
        <v>434</v>
      </c>
      <c r="R81" s="4">
        <v>1E-61</v>
      </c>
      <c r="S81" s="3">
        <v>217</v>
      </c>
      <c r="T81" s="3">
        <v>72.66</v>
      </c>
      <c r="U81" t="s">
        <v>506</v>
      </c>
      <c r="V81" s="8">
        <v>2E-167</v>
      </c>
      <c r="W81">
        <v>94.32</v>
      </c>
      <c r="X81" s="3" t="s">
        <v>448</v>
      </c>
      <c r="Y81" s="3" t="s">
        <v>462</v>
      </c>
      <c r="Z81" s="3" t="s">
        <v>456</v>
      </c>
    </row>
    <row r="82" spans="1:26" s="1" customFormat="1" x14ac:dyDescent="0.25">
      <c r="A82" s="3" t="s">
        <v>194</v>
      </c>
      <c r="B82" s="3">
        <v>3</v>
      </c>
      <c r="C82" s="3">
        <f t="shared" si="1"/>
        <v>1.5849625007211563</v>
      </c>
      <c r="D82" s="3">
        <v>627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40</v>
      </c>
      <c r="P82" s="3" t="s">
        <v>400</v>
      </c>
      <c r="Q82" s="3" t="s">
        <v>434</v>
      </c>
      <c r="R82" s="4">
        <v>6.9999999999999995E-51</v>
      </c>
      <c r="S82" s="3">
        <v>190</v>
      </c>
      <c r="T82" s="3">
        <v>75.959999999999994</v>
      </c>
      <c r="U82" t="s">
        <v>491</v>
      </c>
      <c r="V82" s="8">
        <v>1.9999999999999999E-143</v>
      </c>
      <c r="W82">
        <v>96.18</v>
      </c>
      <c r="X82" s="3" t="s">
        <v>448</v>
      </c>
      <c r="Y82" s="3" t="s">
        <v>462</v>
      </c>
      <c r="Z82" s="3" t="s">
        <v>456</v>
      </c>
    </row>
    <row r="83" spans="1:26" s="1" customFormat="1" x14ac:dyDescent="0.25">
      <c r="A83" s="3" t="s">
        <v>130</v>
      </c>
      <c r="B83" s="3">
        <v>1</v>
      </c>
      <c r="C83" s="3">
        <f t="shared" si="1"/>
        <v>0</v>
      </c>
      <c r="D83" s="3">
        <v>410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131</v>
      </c>
      <c r="K83" s="3" t="s">
        <v>132</v>
      </c>
      <c r="L83" s="4">
        <v>1E-13</v>
      </c>
      <c r="M83" s="3">
        <v>87.9</v>
      </c>
      <c r="N83" s="3">
        <v>88.73</v>
      </c>
      <c r="O83" s="3" t="s">
        <v>40</v>
      </c>
      <c r="P83" s="3" t="s">
        <v>400</v>
      </c>
      <c r="Q83" s="3" t="s">
        <v>434</v>
      </c>
      <c r="R83" s="4">
        <v>3E-37</v>
      </c>
      <c r="S83" s="3">
        <v>147</v>
      </c>
      <c r="T83" s="3">
        <v>68.180000000000007</v>
      </c>
      <c r="U83" t="s">
        <v>524</v>
      </c>
      <c r="V83" s="8">
        <v>4.0000000000000001E-100</v>
      </c>
      <c r="W83">
        <v>91.73</v>
      </c>
      <c r="X83" s="3" t="s">
        <v>448</v>
      </c>
      <c r="Y83" s="3" t="s">
        <v>462</v>
      </c>
      <c r="Z83" s="3" t="s">
        <v>456</v>
      </c>
    </row>
    <row r="84" spans="1:26" s="1" customFormat="1" x14ac:dyDescent="0.25">
      <c r="A84" s="3" t="s">
        <v>385</v>
      </c>
      <c r="B84" s="3">
        <v>2</v>
      </c>
      <c r="C84" s="3">
        <f t="shared" si="1"/>
        <v>1</v>
      </c>
      <c r="D84" s="3">
        <v>244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46</v>
      </c>
      <c r="P84" s="3" t="s">
        <v>400</v>
      </c>
      <c r="Q84" s="3" t="s">
        <v>434</v>
      </c>
      <c r="R84" s="4">
        <v>1E-35</v>
      </c>
      <c r="S84" s="3">
        <v>140</v>
      </c>
      <c r="T84" s="3">
        <v>70.37</v>
      </c>
      <c r="U84" t="s">
        <v>523</v>
      </c>
      <c r="V84" s="8">
        <v>3.0000000000000002E-114</v>
      </c>
      <c r="W84">
        <v>97.54</v>
      </c>
      <c r="X84" s="3" t="s">
        <v>448</v>
      </c>
      <c r="Y84" s="3" t="s">
        <v>462</v>
      </c>
      <c r="Z84" s="3" t="s">
        <v>456</v>
      </c>
    </row>
    <row r="85" spans="1:26" s="1" customFormat="1" x14ac:dyDescent="0.25">
      <c r="A85" s="3" t="s">
        <v>133</v>
      </c>
      <c r="B85" s="3">
        <v>3</v>
      </c>
      <c r="C85" s="3">
        <f t="shared" si="1"/>
        <v>1.5849625007211563</v>
      </c>
      <c r="D85" s="3">
        <v>268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134</v>
      </c>
      <c r="K85" s="3" t="s">
        <v>135</v>
      </c>
      <c r="L85" s="4">
        <v>6E-10</v>
      </c>
      <c r="M85" s="3">
        <v>75</v>
      </c>
      <c r="N85" s="3">
        <v>93.88</v>
      </c>
      <c r="O85" s="3" t="s">
        <v>46</v>
      </c>
      <c r="P85" s="3" t="s">
        <v>400</v>
      </c>
      <c r="Q85" s="3" t="s">
        <v>434</v>
      </c>
      <c r="R85" s="4">
        <v>1.9999999999999999E-34</v>
      </c>
      <c r="S85" s="3">
        <v>137</v>
      </c>
      <c r="T85" s="3">
        <v>69.739999999999995</v>
      </c>
      <c r="U85" t="s">
        <v>502</v>
      </c>
      <c r="V85" s="8">
        <v>4.9999999999999999E-67</v>
      </c>
      <c r="W85">
        <v>87.01</v>
      </c>
      <c r="X85" s="3" t="s">
        <v>448</v>
      </c>
      <c r="Y85" s="3" t="s">
        <v>462</v>
      </c>
      <c r="Z85" s="3" t="s">
        <v>456</v>
      </c>
    </row>
    <row r="86" spans="1:26" s="1" customFormat="1" x14ac:dyDescent="0.25">
      <c r="A86" s="3" t="s">
        <v>217</v>
      </c>
      <c r="B86" s="3">
        <v>5</v>
      </c>
      <c r="C86" s="3">
        <f t="shared" si="1"/>
        <v>2.3219280948873622</v>
      </c>
      <c r="D86" s="3">
        <v>534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46</v>
      </c>
      <c r="P86" s="3" t="s">
        <v>400</v>
      </c>
      <c r="Q86" s="3" t="s">
        <v>434</v>
      </c>
      <c r="R86" s="4">
        <v>1.0000000000000001E-33</v>
      </c>
      <c r="S86" s="3">
        <v>114</v>
      </c>
      <c r="T86" s="3">
        <v>57.47</v>
      </c>
      <c r="U86"/>
      <c r="V86"/>
      <c r="W86"/>
      <c r="X86" s="3" t="s">
        <v>448</v>
      </c>
      <c r="Y86" s="3" t="s">
        <v>462</v>
      </c>
      <c r="Z86" s="3" t="s">
        <v>456</v>
      </c>
    </row>
    <row r="87" spans="1:26" s="1" customFormat="1" x14ac:dyDescent="0.25">
      <c r="A87" s="3" t="s">
        <v>388</v>
      </c>
      <c r="B87" s="3">
        <v>1</v>
      </c>
      <c r="C87" s="3">
        <f t="shared" si="1"/>
        <v>0</v>
      </c>
      <c r="D87" s="3">
        <v>242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46</v>
      </c>
      <c r="P87" s="3" t="s">
        <v>400</v>
      </c>
      <c r="Q87" s="3" t="s">
        <v>434</v>
      </c>
      <c r="R87" s="4">
        <v>5.9999999999999996E-31</v>
      </c>
      <c r="S87" s="3">
        <v>126</v>
      </c>
      <c r="T87" s="3">
        <v>68.92</v>
      </c>
      <c r="U87" t="s">
        <v>499</v>
      </c>
      <c r="V87" s="8">
        <v>4.0000000000000002E-122</v>
      </c>
      <c r="W87">
        <v>99.59</v>
      </c>
      <c r="X87" s="3" t="s">
        <v>448</v>
      </c>
      <c r="Y87" s="3" t="s">
        <v>462</v>
      </c>
      <c r="Z87" s="3" t="s">
        <v>456</v>
      </c>
    </row>
    <row r="88" spans="1:26" s="1" customFormat="1" x14ac:dyDescent="0.25">
      <c r="A88" s="3" t="s">
        <v>67</v>
      </c>
      <c r="B88" s="3">
        <v>5</v>
      </c>
      <c r="C88" s="3">
        <f t="shared" si="1"/>
        <v>2.3219280948873622</v>
      </c>
      <c r="D88" s="3">
        <v>319</v>
      </c>
      <c r="E88" s="3" t="s">
        <v>42</v>
      </c>
      <c r="F88" s="3" t="s">
        <v>43</v>
      </c>
      <c r="G88" s="4">
        <v>4.0000000000000002E-9</v>
      </c>
      <c r="H88" s="3">
        <v>63.9</v>
      </c>
      <c r="I88" s="3">
        <v>91.3</v>
      </c>
      <c r="J88" s="3" t="s">
        <v>44</v>
      </c>
      <c r="K88" s="3" t="s">
        <v>45</v>
      </c>
      <c r="L88" s="4">
        <v>1.9999999999999999E-6</v>
      </c>
      <c r="M88" s="3">
        <v>63.9</v>
      </c>
      <c r="N88" s="3">
        <v>91.3</v>
      </c>
      <c r="O88" s="3" t="s">
        <v>40</v>
      </c>
      <c r="P88" s="3" t="s">
        <v>400</v>
      </c>
      <c r="Q88" s="3" t="s">
        <v>434</v>
      </c>
      <c r="R88" s="4">
        <v>9.0000000000000003E-27</v>
      </c>
      <c r="S88" s="3">
        <v>115</v>
      </c>
      <c r="T88" s="3">
        <v>54.84</v>
      </c>
      <c r="U88" t="s">
        <v>518</v>
      </c>
      <c r="V88" s="8">
        <v>2E-92</v>
      </c>
      <c r="W88">
        <v>99.47</v>
      </c>
      <c r="X88" s="3" t="s">
        <v>448</v>
      </c>
      <c r="Y88" s="3" t="s">
        <v>462</v>
      </c>
      <c r="Z88" s="3" t="s">
        <v>456</v>
      </c>
    </row>
    <row r="89" spans="1:26" s="1" customFormat="1" x14ac:dyDescent="0.25">
      <c r="A89" s="3" t="s">
        <v>314</v>
      </c>
      <c r="B89" s="3">
        <v>1</v>
      </c>
      <c r="C89" s="3">
        <f t="shared" si="1"/>
        <v>0</v>
      </c>
      <c r="D89" s="3">
        <v>323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243</v>
      </c>
      <c r="P89" s="3" t="s">
        <v>400</v>
      </c>
      <c r="Q89" s="3" t="s">
        <v>434</v>
      </c>
      <c r="R89" s="4">
        <v>9.9999999999999992E-25</v>
      </c>
      <c r="S89" s="3">
        <v>109</v>
      </c>
      <c r="T89" s="3">
        <v>45.83</v>
      </c>
      <c r="U89"/>
      <c r="V89"/>
      <c r="W89"/>
      <c r="X89" s="3" t="s">
        <v>448</v>
      </c>
      <c r="Y89" s="3" t="s">
        <v>462</v>
      </c>
      <c r="Z89" s="3" t="s">
        <v>456</v>
      </c>
    </row>
    <row r="90" spans="1:26" s="1" customFormat="1" x14ac:dyDescent="0.25">
      <c r="A90" s="3" t="s">
        <v>307</v>
      </c>
      <c r="B90" s="3">
        <v>1</v>
      </c>
      <c r="C90" s="3">
        <f t="shared" si="1"/>
        <v>0</v>
      </c>
      <c r="D90" s="3">
        <v>335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308</v>
      </c>
      <c r="P90" s="3" t="s">
        <v>400</v>
      </c>
      <c r="Q90" s="3" t="s">
        <v>434</v>
      </c>
      <c r="R90" s="4">
        <v>9.9999999999999995E-21</v>
      </c>
      <c r="S90" s="3">
        <v>98.6</v>
      </c>
      <c r="T90" s="3">
        <v>47.01</v>
      </c>
      <c r="U90" t="s">
        <v>482</v>
      </c>
      <c r="V90" s="8">
        <v>1E-78</v>
      </c>
      <c r="W90">
        <v>82.69</v>
      </c>
      <c r="X90" s="3" t="s">
        <v>448</v>
      </c>
      <c r="Y90" s="3" t="s">
        <v>462</v>
      </c>
      <c r="Z90" s="3" t="s">
        <v>456</v>
      </c>
    </row>
    <row r="91" spans="1:26" s="1" customFormat="1" x14ac:dyDescent="0.25">
      <c r="A91" s="3" t="s">
        <v>365</v>
      </c>
      <c r="B91" s="3">
        <v>2</v>
      </c>
      <c r="C91" s="3">
        <f t="shared" si="1"/>
        <v>1</v>
      </c>
      <c r="D91" s="3">
        <v>272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40</v>
      </c>
      <c r="P91" s="3" t="s">
        <v>400</v>
      </c>
      <c r="Q91" s="3" t="s">
        <v>434</v>
      </c>
      <c r="R91" s="4">
        <v>4.0000000000000002E-9</v>
      </c>
      <c r="S91" s="3">
        <v>64.3</v>
      </c>
      <c r="T91" s="3">
        <v>38.200000000000003</v>
      </c>
      <c r="U91" t="s">
        <v>482</v>
      </c>
      <c r="V91" s="8">
        <v>8.9999999999999992E-50</v>
      </c>
      <c r="W91">
        <v>80.3</v>
      </c>
      <c r="X91" s="3" t="s">
        <v>448</v>
      </c>
      <c r="Y91" s="3" t="s">
        <v>462</v>
      </c>
      <c r="Z91" s="3" t="s">
        <v>456</v>
      </c>
    </row>
    <row r="92" spans="1:26" s="1" customFormat="1" x14ac:dyDescent="0.25">
      <c r="A92" s="3" t="s">
        <v>242</v>
      </c>
      <c r="B92" s="3">
        <v>4</v>
      </c>
      <c r="C92" s="3">
        <f t="shared" si="1"/>
        <v>2</v>
      </c>
      <c r="D92" s="3">
        <v>488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243</v>
      </c>
      <c r="P92" s="3" t="s">
        <v>400</v>
      </c>
      <c r="Q92" s="3" t="s">
        <v>434</v>
      </c>
      <c r="R92" s="4">
        <v>2.9999999999999997E-8</v>
      </c>
      <c r="S92" s="3">
        <v>63.5</v>
      </c>
      <c r="T92" s="3">
        <v>65</v>
      </c>
      <c r="U92" t="s">
        <v>505</v>
      </c>
      <c r="V92" s="8">
        <v>8.9999999999999994E-137</v>
      </c>
      <c r="W92">
        <v>90.21</v>
      </c>
      <c r="X92" s="3" t="s">
        <v>448</v>
      </c>
      <c r="Y92" s="3" t="s">
        <v>462</v>
      </c>
      <c r="Z92" s="3" t="s">
        <v>456</v>
      </c>
    </row>
    <row r="93" spans="1:26" s="1" customFormat="1" x14ac:dyDescent="0.25">
      <c r="A93" s="3" t="s">
        <v>374</v>
      </c>
      <c r="B93" s="3">
        <v>4</v>
      </c>
      <c r="C93" s="3">
        <f t="shared" si="1"/>
        <v>2</v>
      </c>
      <c r="D93" s="3">
        <v>258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243</v>
      </c>
      <c r="P93" s="3" t="s">
        <v>400</v>
      </c>
      <c r="Q93" s="3" t="s">
        <v>434</v>
      </c>
      <c r="R93" s="4">
        <v>6.0000000000000002E-6</v>
      </c>
      <c r="S93" s="3">
        <v>54.7</v>
      </c>
      <c r="T93" s="3">
        <v>47.22</v>
      </c>
      <c r="U93" t="s">
        <v>497</v>
      </c>
      <c r="V93" s="8">
        <v>1.9999999999999999E-81</v>
      </c>
      <c r="W93">
        <v>94.06</v>
      </c>
      <c r="X93" s="3" t="s">
        <v>448</v>
      </c>
      <c r="Y93" s="3" t="s">
        <v>462</v>
      </c>
      <c r="Z93" s="3" t="s">
        <v>456</v>
      </c>
    </row>
    <row r="94" spans="1:26" s="1" customFormat="1" x14ac:dyDescent="0.25">
      <c r="A94" s="3" t="s">
        <v>24</v>
      </c>
      <c r="B94" s="3">
        <v>10</v>
      </c>
      <c r="C94" s="3">
        <f t="shared" si="1"/>
        <v>3.3219280948873626</v>
      </c>
      <c r="D94" s="3">
        <v>886</v>
      </c>
      <c r="E94" s="3" t="s">
        <v>25</v>
      </c>
      <c r="F94" s="3" t="s">
        <v>26</v>
      </c>
      <c r="G94" s="4">
        <v>3.0000000000000003E-39</v>
      </c>
      <c r="H94" s="3">
        <v>165</v>
      </c>
      <c r="I94" s="3">
        <v>76</v>
      </c>
      <c r="J94" s="3" t="s">
        <v>27</v>
      </c>
      <c r="K94" s="3" t="s">
        <v>28</v>
      </c>
      <c r="L94" s="4">
        <v>6.9999999999999995E-44</v>
      </c>
      <c r="M94" s="3">
        <v>189</v>
      </c>
      <c r="N94" s="3">
        <v>74.78</v>
      </c>
      <c r="O94" s="3" t="s">
        <v>29</v>
      </c>
      <c r="P94" s="3" t="s">
        <v>398</v>
      </c>
      <c r="Q94" s="3" t="s">
        <v>433</v>
      </c>
      <c r="R94" s="4">
        <v>1E-100</v>
      </c>
      <c r="S94" s="3">
        <v>311</v>
      </c>
      <c r="T94" s="3">
        <v>62.35</v>
      </c>
      <c r="U94" t="s">
        <v>504</v>
      </c>
      <c r="V94">
        <v>0</v>
      </c>
      <c r="W94">
        <v>93.55</v>
      </c>
      <c r="X94" s="3" t="s">
        <v>448</v>
      </c>
      <c r="Y94" s="3" t="s">
        <v>462</v>
      </c>
      <c r="Z94" s="3" t="s">
        <v>456</v>
      </c>
    </row>
    <row r="95" spans="1:26" s="1" customFormat="1" x14ac:dyDescent="0.25">
      <c r="A95" s="3" t="s">
        <v>249</v>
      </c>
      <c r="B95" s="3">
        <v>6.38</v>
      </c>
      <c r="C95" s="3">
        <f t="shared" si="1"/>
        <v>2.6735564239901448</v>
      </c>
      <c r="D95" s="3">
        <v>472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250</v>
      </c>
      <c r="P95" s="3" t="s">
        <v>411</v>
      </c>
      <c r="Q95" s="3" t="s">
        <v>433</v>
      </c>
      <c r="R95" s="4">
        <v>2.0000000000000001E-68</v>
      </c>
      <c r="S95" s="3">
        <v>229</v>
      </c>
      <c r="T95" s="3">
        <v>64.739999999999995</v>
      </c>
      <c r="U95" t="s">
        <v>494</v>
      </c>
      <c r="V95">
        <v>0</v>
      </c>
      <c r="W95">
        <v>99.75</v>
      </c>
      <c r="X95" s="3" t="s">
        <v>448</v>
      </c>
      <c r="Y95" s="3" t="s">
        <v>462</v>
      </c>
      <c r="Z95" s="3" t="s">
        <v>456</v>
      </c>
    </row>
    <row r="96" spans="1:26" s="1" customFormat="1" x14ac:dyDescent="0.25">
      <c r="A96" s="3" t="s">
        <v>207</v>
      </c>
      <c r="B96" s="3">
        <v>2</v>
      </c>
      <c r="C96" s="3">
        <f t="shared" si="1"/>
        <v>1</v>
      </c>
      <c r="D96" s="3">
        <v>551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29</v>
      </c>
      <c r="P96" s="3" t="s">
        <v>398</v>
      </c>
      <c r="Q96" s="3" t="s">
        <v>433</v>
      </c>
      <c r="R96" s="4">
        <v>2.0000000000000001E-63</v>
      </c>
      <c r="S96" s="3">
        <v>211</v>
      </c>
      <c r="T96" s="3">
        <v>55.91</v>
      </c>
      <c r="U96"/>
      <c r="V96"/>
      <c r="W96"/>
      <c r="X96" s="3" t="s">
        <v>448</v>
      </c>
      <c r="Y96" s="3" t="s">
        <v>462</v>
      </c>
      <c r="Z96" s="3" t="s">
        <v>456</v>
      </c>
    </row>
    <row r="97" spans="1:26" s="1" customFormat="1" x14ac:dyDescent="0.25">
      <c r="A97" s="3" t="s">
        <v>256</v>
      </c>
      <c r="B97" s="3">
        <v>11.62</v>
      </c>
      <c r="C97" s="3">
        <f t="shared" si="1"/>
        <v>3.5385381636298043</v>
      </c>
      <c r="D97" s="3">
        <v>454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250</v>
      </c>
      <c r="P97" s="3" t="s">
        <v>411</v>
      </c>
      <c r="Q97" s="3" t="s">
        <v>433</v>
      </c>
      <c r="R97" s="4">
        <v>3.0000000000000002E-55</v>
      </c>
      <c r="S97" s="3">
        <v>194</v>
      </c>
      <c r="T97" s="3">
        <v>64.89</v>
      </c>
      <c r="U97" t="s">
        <v>494</v>
      </c>
      <c r="V97">
        <v>0</v>
      </c>
      <c r="W97">
        <v>99.12</v>
      </c>
      <c r="X97" s="3" t="s">
        <v>448</v>
      </c>
      <c r="Y97" s="3" t="s">
        <v>462</v>
      </c>
      <c r="Z97" s="3" t="s">
        <v>456</v>
      </c>
    </row>
    <row r="98" spans="1:26" s="1" customFormat="1" x14ac:dyDescent="0.25">
      <c r="A98" s="3" t="s">
        <v>290</v>
      </c>
      <c r="B98" s="3">
        <v>2</v>
      </c>
      <c r="C98" s="3">
        <f t="shared" si="1"/>
        <v>1</v>
      </c>
      <c r="D98" s="3">
        <v>351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73</v>
      </c>
      <c r="P98" s="3" t="s">
        <v>398</v>
      </c>
      <c r="Q98" s="3" t="s">
        <v>433</v>
      </c>
      <c r="R98" s="4">
        <v>2E-52</v>
      </c>
      <c r="S98" s="3">
        <v>175</v>
      </c>
      <c r="T98" s="3">
        <v>68.38</v>
      </c>
      <c r="U98"/>
      <c r="V98"/>
      <c r="W98"/>
      <c r="X98" s="3" t="s">
        <v>448</v>
      </c>
      <c r="Y98" s="3" t="s">
        <v>462</v>
      </c>
      <c r="Z98" s="3" t="s">
        <v>456</v>
      </c>
    </row>
    <row r="99" spans="1:26" s="1" customFormat="1" x14ac:dyDescent="0.25">
      <c r="A99" s="3" t="s">
        <v>339</v>
      </c>
      <c r="B99" s="3">
        <v>2</v>
      </c>
      <c r="C99" s="3">
        <f t="shared" si="1"/>
        <v>1</v>
      </c>
      <c r="D99" s="3">
        <v>298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340</v>
      </c>
      <c r="P99" s="3" t="s">
        <v>409</v>
      </c>
      <c r="Q99" s="3" t="s">
        <v>433</v>
      </c>
      <c r="R99" s="4">
        <v>4.0000000000000001E-46</v>
      </c>
      <c r="S99" s="3">
        <v>166</v>
      </c>
      <c r="T99" s="3">
        <v>72.45</v>
      </c>
      <c r="U99" t="s">
        <v>501</v>
      </c>
      <c r="V99" s="8">
        <v>8.0000000000000003E-135</v>
      </c>
      <c r="W99">
        <v>95.97</v>
      </c>
      <c r="X99" s="3" t="s">
        <v>448</v>
      </c>
      <c r="Y99" s="3" t="s">
        <v>462</v>
      </c>
      <c r="Z99" s="3" t="s">
        <v>456</v>
      </c>
    </row>
    <row r="100" spans="1:26" s="1" customFormat="1" x14ac:dyDescent="0.25">
      <c r="A100" s="3" t="s">
        <v>68</v>
      </c>
      <c r="B100" s="3">
        <v>3</v>
      </c>
      <c r="C100" s="3">
        <f t="shared" si="1"/>
        <v>1.5849625007211563</v>
      </c>
      <c r="D100" s="3">
        <v>300</v>
      </c>
      <c r="E100" s="3" t="s">
        <v>69</v>
      </c>
      <c r="F100" s="3" t="s">
        <v>70</v>
      </c>
      <c r="G100" s="4">
        <v>1.9999999999999999E-11</v>
      </c>
      <c r="H100" s="3">
        <v>71.3</v>
      </c>
      <c r="I100" s="3">
        <v>88.14</v>
      </c>
      <c r="J100" s="3" t="s">
        <v>71</v>
      </c>
      <c r="K100" s="3" t="s">
        <v>72</v>
      </c>
      <c r="L100" s="4">
        <v>9.9999999999999994E-12</v>
      </c>
      <c r="M100" s="3">
        <v>80.5</v>
      </c>
      <c r="N100" s="3">
        <v>91.38</v>
      </c>
      <c r="O100" s="3" t="s">
        <v>73</v>
      </c>
      <c r="P100" s="3" t="s">
        <v>398</v>
      </c>
      <c r="Q100" s="3" t="s">
        <v>433</v>
      </c>
      <c r="R100" s="4">
        <v>3E-43</v>
      </c>
      <c r="S100" s="3">
        <v>151</v>
      </c>
      <c r="T100" s="3">
        <v>69</v>
      </c>
      <c r="U100" t="s">
        <v>517</v>
      </c>
      <c r="V100" s="8">
        <v>3.0000000000000002E-114</v>
      </c>
      <c r="W100">
        <v>91.67</v>
      </c>
      <c r="X100" s="3" t="s">
        <v>448</v>
      </c>
      <c r="Y100" s="3" t="s">
        <v>462</v>
      </c>
      <c r="Z100" s="3" t="s">
        <v>456</v>
      </c>
    </row>
    <row r="101" spans="1:26" s="1" customFormat="1" x14ac:dyDescent="0.25">
      <c r="A101" s="3" t="s">
        <v>352</v>
      </c>
      <c r="B101" s="3">
        <v>2</v>
      </c>
      <c r="C101" s="3">
        <f t="shared" si="1"/>
        <v>1</v>
      </c>
      <c r="D101" s="3">
        <v>276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73</v>
      </c>
      <c r="P101" s="3" t="s">
        <v>398</v>
      </c>
      <c r="Q101" s="3" t="s">
        <v>433</v>
      </c>
      <c r="R101" s="4">
        <v>5E-42</v>
      </c>
      <c r="S101" s="3">
        <v>147</v>
      </c>
      <c r="T101" s="3">
        <v>72.53</v>
      </c>
      <c r="U101" t="s">
        <v>516</v>
      </c>
      <c r="V101" s="8">
        <v>1E-117</v>
      </c>
      <c r="W101">
        <v>94.57</v>
      </c>
      <c r="X101" s="3" t="s">
        <v>448</v>
      </c>
      <c r="Y101" s="3" t="s">
        <v>462</v>
      </c>
      <c r="Z101" s="3" t="s">
        <v>456</v>
      </c>
    </row>
    <row r="102" spans="1:26" s="1" customFormat="1" x14ac:dyDescent="0.25">
      <c r="A102" s="3" t="s">
        <v>353</v>
      </c>
      <c r="B102" s="3">
        <v>6</v>
      </c>
      <c r="C102" s="3">
        <f t="shared" si="1"/>
        <v>2.5849625007211561</v>
      </c>
      <c r="D102" s="3">
        <v>276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73</v>
      </c>
      <c r="P102" s="3" t="s">
        <v>398</v>
      </c>
      <c r="Q102" s="3" t="s">
        <v>433</v>
      </c>
      <c r="R102" s="4">
        <v>5E-42</v>
      </c>
      <c r="S102" s="3">
        <v>147</v>
      </c>
      <c r="T102" s="3">
        <v>72.53</v>
      </c>
      <c r="U102" t="s">
        <v>506</v>
      </c>
      <c r="V102" s="8">
        <v>6.0000000000000003E-126</v>
      </c>
      <c r="W102">
        <v>96.38</v>
      </c>
      <c r="X102" s="3" t="s">
        <v>448</v>
      </c>
      <c r="Y102" s="3" t="s">
        <v>462</v>
      </c>
      <c r="Z102" s="3" t="s">
        <v>456</v>
      </c>
    </row>
    <row r="103" spans="1:26" s="1" customFormat="1" x14ac:dyDescent="0.25">
      <c r="A103" s="3" t="s">
        <v>349</v>
      </c>
      <c r="B103" s="3">
        <v>5</v>
      </c>
      <c r="C103" s="3">
        <f t="shared" si="1"/>
        <v>2.3219280948873622</v>
      </c>
      <c r="D103" s="3">
        <v>285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29</v>
      </c>
      <c r="P103" s="3" t="s">
        <v>398</v>
      </c>
      <c r="Q103" s="3" t="s">
        <v>433</v>
      </c>
      <c r="R103" s="4">
        <v>8.0000000000000003E-42</v>
      </c>
      <c r="S103" s="3">
        <v>151</v>
      </c>
      <c r="T103" s="3">
        <v>72.34</v>
      </c>
      <c r="U103" t="s">
        <v>517</v>
      </c>
      <c r="V103" s="8">
        <v>2.9999999999999998E-129</v>
      </c>
      <c r="W103">
        <v>96.14</v>
      </c>
      <c r="X103" s="3" t="s">
        <v>448</v>
      </c>
      <c r="Y103" s="3" t="s">
        <v>462</v>
      </c>
      <c r="Z103" s="3" t="s">
        <v>456</v>
      </c>
    </row>
    <row r="104" spans="1:26" s="1" customFormat="1" x14ac:dyDescent="0.25">
      <c r="A104" s="3" t="s">
        <v>322</v>
      </c>
      <c r="B104" s="3">
        <v>3</v>
      </c>
      <c r="C104" s="3">
        <f t="shared" si="1"/>
        <v>1.5849625007211563</v>
      </c>
      <c r="D104" s="3">
        <v>314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262</v>
      </c>
      <c r="P104" s="3" t="s">
        <v>400</v>
      </c>
      <c r="Q104" s="3" t="s">
        <v>433</v>
      </c>
      <c r="R104" s="4">
        <v>1E-41</v>
      </c>
      <c r="S104" s="3">
        <v>158</v>
      </c>
      <c r="T104" s="3">
        <v>66</v>
      </c>
      <c r="U104" t="s">
        <v>507</v>
      </c>
      <c r="V104" s="8">
        <v>7.0000000000000004E-131</v>
      </c>
      <c r="W104">
        <v>95</v>
      </c>
      <c r="X104" s="3" t="s">
        <v>448</v>
      </c>
      <c r="Y104" s="3" t="s">
        <v>462</v>
      </c>
      <c r="Z104" s="3" t="s">
        <v>456</v>
      </c>
    </row>
    <row r="105" spans="1:26" s="1" customFormat="1" x14ac:dyDescent="0.25">
      <c r="A105" s="3" t="s">
        <v>284</v>
      </c>
      <c r="B105" s="3">
        <v>1.94</v>
      </c>
      <c r="C105" s="3">
        <f t="shared" si="1"/>
        <v>0.95605665241240301</v>
      </c>
      <c r="D105" s="3">
        <v>364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285</v>
      </c>
      <c r="P105" s="3" t="s">
        <v>398</v>
      </c>
      <c r="Q105" s="3" t="s">
        <v>433</v>
      </c>
      <c r="R105" s="4">
        <v>1.0000000000000001E-37</v>
      </c>
      <c r="S105" s="3">
        <v>137</v>
      </c>
      <c r="T105" s="3">
        <v>65.260000000000005</v>
      </c>
      <c r="U105" t="s">
        <v>508</v>
      </c>
      <c r="V105" s="8">
        <v>4.0000000000000002E-114</v>
      </c>
      <c r="W105">
        <v>92.98</v>
      </c>
      <c r="X105" s="3" t="s">
        <v>448</v>
      </c>
      <c r="Y105" s="3" t="s">
        <v>462</v>
      </c>
      <c r="Z105" s="3" t="s">
        <v>456</v>
      </c>
    </row>
    <row r="106" spans="1:26" s="1" customFormat="1" x14ac:dyDescent="0.25">
      <c r="A106" s="3" t="s">
        <v>293</v>
      </c>
      <c r="B106" s="3">
        <v>2</v>
      </c>
      <c r="C106" s="3">
        <f t="shared" si="1"/>
        <v>1</v>
      </c>
      <c r="D106" s="3">
        <v>350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29</v>
      </c>
      <c r="P106" s="3" t="s">
        <v>398</v>
      </c>
      <c r="Q106" s="3" t="s">
        <v>433</v>
      </c>
      <c r="R106" s="4">
        <v>1.9999999999999999E-29</v>
      </c>
      <c r="S106" s="3">
        <v>119</v>
      </c>
      <c r="T106" s="3">
        <v>75</v>
      </c>
      <c r="U106" t="s">
        <v>501</v>
      </c>
      <c r="V106" s="8">
        <v>2.9999999999999999E-50</v>
      </c>
      <c r="W106">
        <v>85.35</v>
      </c>
      <c r="X106" s="3" t="s">
        <v>448</v>
      </c>
      <c r="Y106" s="3" t="s">
        <v>462</v>
      </c>
      <c r="Z106" s="3" t="s">
        <v>456</v>
      </c>
    </row>
    <row r="107" spans="1:26" s="1" customFormat="1" x14ac:dyDescent="0.25">
      <c r="A107" s="3" t="s">
        <v>261</v>
      </c>
      <c r="B107" s="3">
        <v>2.56</v>
      </c>
      <c r="C107" s="3">
        <f t="shared" si="1"/>
        <v>1.3561438102252754</v>
      </c>
      <c r="D107" s="3">
        <v>430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262</v>
      </c>
      <c r="P107" s="3" t="s">
        <v>400</v>
      </c>
      <c r="Q107" s="3" t="s">
        <v>433</v>
      </c>
      <c r="R107" s="4">
        <v>5.9999999999999999E-24</v>
      </c>
      <c r="S107" s="3">
        <v>109</v>
      </c>
      <c r="T107" s="3">
        <v>79.03</v>
      </c>
      <c r="U107" t="s">
        <v>506</v>
      </c>
      <c r="V107" s="8">
        <v>2.9999999999999999E-121</v>
      </c>
      <c r="W107">
        <v>95</v>
      </c>
      <c r="X107" s="3" t="s">
        <v>448</v>
      </c>
      <c r="Y107" s="3" t="s">
        <v>462</v>
      </c>
      <c r="Z107" s="3" t="s">
        <v>456</v>
      </c>
    </row>
    <row r="108" spans="1:26" s="1" customFormat="1" x14ac:dyDescent="0.25">
      <c r="A108" s="3" t="s">
        <v>291</v>
      </c>
      <c r="B108" s="3">
        <v>3</v>
      </c>
      <c r="C108" s="3">
        <f t="shared" si="1"/>
        <v>1.5849625007211563</v>
      </c>
      <c r="D108" s="3">
        <v>350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73</v>
      </c>
      <c r="P108" s="3" t="s">
        <v>398</v>
      </c>
      <c r="Q108" s="3" t="s">
        <v>433</v>
      </c>
      <c r="R108" s="4">
        <v>9.9999999999999991E-22</v>
      </c>
      <c r="S108" s="3">
        <v>95.9</v>
      </c>
      <c r="T108" s="3">
        <v>62.32</v>
      </c>
      <c r="U108" t="s">
        <v>501</v>
      </c>
      <c r="V108" s="8">
        <v>1.9999999999999999E-82</v>
      </c>
      <c r="W108">
        <v>94.95</v>
      </c>
      <c r="X108" s="3" t="s">
        <v>448</v>
      </c>
      <c r="Y108" s="3" t="s">
        <v>462</v>
      </c>
      <c r="Z108" s="3" t="s">
        <v>456</v>
      </c>
    </row>
    <row r="109" spans="1:26" s="1" customFormat="1" x14ac:dyDescent="0.25">
      <c r="A109" s="3" t="s">
        <v>292</v>
      </c>
      <c r="B109" s="3">
        <v>6</v>
      </c>
      <c r="C109" s="3">
        <f t="shared" si="1"/>
        <v>2.5849625007211561</v>
      </c>
      <c r="D109" s="3">
        <v>350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29</v>
      </c>
      <c r="P109" s="3" t="s">
        <v>398</v>
      </c>
      <c r="Q109" s="3" t="s">
        <v>433</v>
      </c>
      <c r="R109" s="4">
        <v>9.9999999999999991E-22</v>
      </c>
      <c r="S109" s="3">
        <v>97.8</v>
      </c>
      <c r="T109" s="3">
        <v>70.31</v>
      </c>
      <c r="U109" t="s">
        <v>494</v>
      </c>
      <c r="V109" s="8">
        <v>3.0000000000000001E-180</v>
      </c>
      <c r="W109">
        <v>99.43</v>
      </c>
      <c r="X109" s="3" t="s">
        <v>448</v>
      </c>
      <c r="Y109" s="3" t="s">
        <v>462</v>
      </c>
      <c r="Z109" s="3" t="s">
        <v>456</v>
      </c>
    </row>
    <row r="110" spans="1:26" s="1" customFormat="1" x14ac:dyDescent="0.25">
      <c r="A110" s="3" t="s">
        <v>171</v>
      </c>
      <c r="B110" s="3">
        <v>5</v>
      </c>
      <c r="C110" s="3">
        <f t="shared" si="1"/>
        <v>2.3219280948873622</v>
      </c>
      <c r="D110" s="3">
        <v>798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172</v>
      </c>
      <c r="P110" s="3" t="s">
        <v>422</v>
      </c>
      <c r="Q110" s="3" t="s">
        <v>433</v>
      </c>
      <c r="R110" s="4">
        <v>4.0000000000000003E-17</v>
      </c>
      <c r="S110" s="3">
        <v>92.8</v>
      </c>
      <c r="T110" s="3">
        <v>73.680000000000007</v>
      </c>
      <c r="U110" t="s">
        <v>494</v>
      </c>
      <c r="V110">
        <v>0</v>
      </c>
      <c r="W110">
        <v>99.47</v>
      </c>
      <c r="X110" s="3" t="s">
        <v>448</v>
      </c>
      <c r="Y110" s="3" t="s">
        <v>462</v>
      </c>
      <c r="Z110" s="3" t="s">
        <v>456</v>
      </c>
    </row>
    <row r="111" spans="1:26" s="1" customFormat="1" x14ac:dyDescent="0.25">
      <c r="A111" s="3" t="s">
        <v>64</v>
      </c>
      <c r="B111" s="3">
        <v>5</v>
      </c>
      <c r="C111" s="3">
        <f t="shared" si="1"/>
        <v>2.3219280948873622</v>
      </c>
      <c r="D111" s="3">
        <v>341</v>
      </c>
      <c r="E111" s="3" t="s">
        <v>42</v>
      </c>
      <c r="F111" s="3" t="s">
        <v>43</v>
      </c>
      <c r="G111" s="4">
        <v>2E-8</v>
      </c>
      <c r="H111" s="3">
        <v>62.1</v>
      </c>
      <c r="I111" s="3">
        <v>92.86</v>
      </c>
      <c r="J111" s="3" t="s">
        <v>65</v>
      </c>
      <c r="K111" s="3" t="s">
        <v>66</v>
      </c>
      <c r="L111" s="4">
        <v>8.0000000000000003E-10</v>
      </c>
      <c r="M111" s="3">
        <v>75</v>
      </c>
      <c r="N111" s="3">
        <v>97.67</v>
      </c>
      <c r="O111" s="3" t="s">
        <v>29</v>
      </c>
      <c r="P111" s="3" t="s">
        <v>398</v>
      </c>
      <c r="Q111" s="3" t="s">
        <v>433</v>
      </c>
      <c r="R111" s="4">
        <v>4.0000000000000001E-13</v>
      </c>
      <c r="S111" s="3">
        <v>74.3</v>
      </c>
      <c r="T111" s="3">
        <v>76.739999999999995</v>
      </c>
      <c r="U111" t="s">
        <v>509</v>
      </c>
      <c r="V111" s="8">
        <v>1.0000000000000001E-43</v>
      </c>
      <c r="W111">
        <v>96.36</v>
      </c>
      <c r="X111" s="3" t="s">
        <v>448</v>
      </c>
      <c r="Y111" s="3" t="s">
        <v>462</v>
      </c>
      <c r="Z111" s="3" t="s">
        <v>456</v>
      </c>
    </row>
    <row r="112" spans="1:26" s="1" customFormat="1" x14ac:dyDescent="0.25">
      <c r="A112" s="3" t="s">
        <v>278</v>
      </c>
      <c r="B112" s="3">
        <v>2</v>
      </c>
      <c r="C112" s="3">
        <f t="shared" si="1"/>
        <v>1</v>
      </c>
      <c r="D112" s="3">
        <v>376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262</v>
      </c>
      <c r="P112" s="3" t="s">
        <v>400</v>
      </c>
      <c r="Q112" s="3" t="s">
        <v>433</v>
      </c>
      <c r="R112" s="4">
        <v>2.0000000000000001E-9</v>
      </c>
      <c r="S112" s="3">
        <v>65.900000000000006</v>
      </c>
      <c r="T112" s="3">
        <v>39.42</v>
      </c>
      <c r="U112" t="s">
        <v>485</v>
      </c>
      <c r="V112" s="8">
        <v>5.0000000000000002E-143</v>
      </c>
      <c r="W112">
        <v>91.29</v>
      </c>
      <c r="X112" s="3" t="s">
        <v>448</v>
      </c>
      <c r="Y112" s="3" t="s">
        <v>462</v>
      </c>
      <c r="Z112" s="3" t="s">
        <v>456</v>
      </c>
    </row>
    <row r="113" spans="1:26" s="1" customFormat="1" x14ac:dyDescent="0.25">
      <c r="A113" s="3" t="s">
        <v>92</v>
      </c>
      <c r="B113" s="3">
        <v>20</v>
      </c>
      <c r="C113" s="3">
        <f t="shared" si="1"/>
        <v>4.3219280948873626</v>
      </c>
      <c r="D113" s="3">
        <v>1006</v>
      </c>
      <c r="E113" s="3" t="s">
        <v>93</v>
      </c>
      <c r="F113" s="3" t="s">
        <v>94</v>
      </c>
      <c r="G113" s="4">
        <v>2E-41</v>
      </c>
      <c r="H113" s="3">
        <v>172</v>
      </c>
      <c r="I113" s="3">
        <v>75</v>
      </c>
      <c r="J113" s="3" t="s">
        <v>95</v>
      </c>
      <c r="K113" s="3" t="s">
        <v>96</v>
      </c>
      <c r="L113" s="4">
        <v>6E-65</v>
      </c>
      <c r="M113" s="3">
        <v>259</v>
      </c>
      <c r="N113" s="3">
        <v>81.56</v>
      </c>
      <c r="O113" s="3" t="s">
        <v>97</v>
      </c>
      <c r="P113" s="3" t="s">
        <v>406</v>
      </c>
      <c r="Q113" s="3" t="s">
        <v>446</v>
      </c>
      <c r="R113" s="4">
        <v>2.9999999999999998E-141</v>
      </c>
      <c r="S113" s="3">
        <v>425</v>
      </c>
      <c r="T113" s="3">
        <v>63.22</v>
      </c>
      <c r="U113" t="s">
        <v>482</v>
      </c>
      <c r="V113">
        <v>0</v>
      </c>
      <c r="W113">
        <v>87.73</v>
      </c>
      <c r="X113" s="3" t="s">
        <v>448</v>
      </c>
      <c r="Y113" s="3" t="s">
        <v>452</v>
      </c>
      <c r="Z113" s="3" t="s">
        <v>452</v>
      </c>
    </row>
    <row r="114" spans="1:26" s="1" customFormat="1" x14ac:dyDescent="0.25">
      <c r="A114" s="3" t="s">
        <v>98</v>
      </c>
      <c r="B114" s="3">
        <v>2</v>
      </c>
      <c r="C114" s="3">
        <f t="shared" si="1"/>
        <v>1</v>
      </c>
      <c r="D114" s="3">
        <v>417</v>
      </c>
      <c r="E114" s="3" t="s">
        <v>99</v>
      </c>
      <c r="F114" s="3" t="s">
        <v>100</v>
      </c>
      <c r="G114" s="4">
        <v>3.9999999999999998E-20</v>
      </c>
      <c r="H114" s="3">
        <v>100</v>
      </c>
      <c r="I114" s="3">
        <v>74.099999999999994</v>
      </c>
      <c r="J114" s="3" t="s">
        <v>101</v>
      </c>
      <c r="K114" s="3" t="s">
        <v>100</v>
      </c>
      <c r="L114" s="4">
        <v>2.0000000000000001E-17</v>
      </c>
      <c r="M114" s="3">
        <v>100</v>
      </c>
      <c r="N114" s="3">
        <v>74.099999999999994</v>
      </c>
      <c r="O114" s="3" t="s">
        <v>97</v>
      </c>
      <c r="P114" s="3" t="s">
        <v>406</v>
      </c>
      <c r="Q114" s="3" t="s">
        <v>446</v>
      </c>
      <c r="R114" s="4">
        <v>3.0000000000000001E-72</v>
      </c>
      <c r="S114" s="3">
        <v>239</v>
      </c>
      <c r="T114" s="3">
        <v>75.540000000000006</v>
      </c>
      <c r="U114"/>
      <c r="V114"/>
      <c r="W114"/>
      <c r="X114" s="3" t="s">
        <v>448</v>
      </c>
      <c r="Y114" s="3" t="s">
        <v>452</v>
      </c>
      <c r="Z114" s="3" t="s">
        <v>452</v>
      </c>
    </row>
    <row r="115" spans="1:26" s="1" customFormat="1" x14ac:dyDescent="0.25">
      <c r="A115" s="3" t="s">
        <v>120</v>
      </c>
      <c r="B115" s="3">
        <v>1</v>
      </c>
      <c r="C115" s="3">
        <f t="shared" si="1"/>
        <v>0</v>
      </c>
      <c r="D115" s="3">
        <v>474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121</v>
      </c>
      <c r="K115" s="3" t="s">
        <v>122</v>
      </c>
      <c r="L115" s="4">
        <v>5.9999999999999998E-22</v>
      </c>
      <c r="M115" s="3">
        <v>115</v>
      </c>
      <c r="N115" s="3">
        <v>73.48</v>
      </c>
      <c r="O115" s="3" t="s">
        <v>58</v>
      </c>
      <c r="P115" s="3" t="s">
        <v>398</v>
      </c>
      <c r="Q115" s="3" t="s">
        <v>550</v>
      </c>
      <c r="R115" s="4">
        <v>2.0000000000000001E-83</v>
      </c>
      <c r="S115" s="3">
        <v>263</v>
      </c>
      <c r="T115" s="3">
        <v>76.28</v>
      </c>
      <c r="U115" t="s">
        <v>483</v>
      </c>
      <c r="V115" s="8">
        <v>4E-150</v>
      </c>
      <c r="W115">
        <v>88.2</v>
      </c>
      <c r="X115" s="3" t="s">
        <v>448</v>
      </c>
      <c r="Y115" s="3" t="s">
        <v>455</v>
      </c>
      <c r="Z115" s="3" t="s">
        <v>456</v>
      </c>
    </row>
    <row r="116" spans="1:26" s="1" customFormat="1" x14ac:dyDescent="0.25">
      <c r="A116" s="3" t="s">
        <v>53</v>
      </c>
      <c r="B116" s="3">
        <v>6</v>
      </c>
      <c r="C116" s="3">
        <f t="shared" si="1"/>
        <v>2.5849625007211561</v>
      </c>
      <c r="D116" s="3">
        <v>360</v>
      </c>
      <c r="E116" s="3" t="s">
        <v>54</v>
      </c>
      <c r="F116" s="3" t="s">
        <v>55</v>
      </c>
      <c r="G116" s="4">
        <v>9.9999999999999992E-25</v>
      </c>
      <c r="H116" s="3">
        <v>115</v>
      </c>
      <c r="I116" s="3">
        <v>82.81</v>
      </c>
      <c r="J116" s="3" t="s">
        <v>56</v>
      </c>
      <c r="K116" s="3" t="s">
        <v>57</v>
      </c>
      <c r="L116" s="4">
        <v>4.9999999999999995E-22</v>
      </c>
      <c r="M116" s="3">
        <v>115</v>
      </c>
      <c r="N116" s="3">
        <v>82.81</v>
      </c>
      <c r="O116" s="3" t="s">
        <v>58</v>
      </c>
      <c r="P116" s="3" t="s">
        <v>398</v>
      </c>
      <c r="Q116" s="3" t="s">
        <v>550</v>
      </c>
      <c r="R116" s="4">
        <v>9.9999999999999992E-66</v>
      </c>
      <c r="S116" s="3">
        <v>216</v>
      </c>
      <c r="T116" s="3">
        <v>84.87</v>
      </c>
      <c r="U116" t="s">
        <v>493</v>
      </c>
      <c r="V116" s="8">
        <v>9.9999999999999998E-150</v>
      </c>
      <c r="W116">
        <v>94.05</v>
      </c>
      <c r="X116" s="3" t="s">
        <v>448</v>
      </c>
      <c r="Y116" s="3" t="s">
        <v>455</v>
      </c>
      <c r="Z116" s="3" t="s">
        <v>456</v>
      </c>
    </row>
    <row r="117" spans="1:26" s="1" customFormat="1" x14ac:dyDescent="0.25">
      <c r="A117" s="3" t="s">
        <v>155</v>
      </c>
      <c r="B117" s="3">
        <v>9.23</v>
      </c>
      <c r="C117" s="3">
        <f t="shared" si="1"/>
        <v>3.2063306478710496</v>
      </c>
      <c r="D117" s="3">
        <v>1077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156</v>
      </c>
      <c r="P117" s="3" t="s">
        <v>424</v>
      </c>
      <c r="Q117" s="3" t="s">
        <v>550</v>
      </c>
      <c r="R117" s="4">
        <v>3E-57</v>
      </c>
      <c r="S117" s="3">
        <v>202</v>
      </c>
      <c r="T117" s="3">
        <v>48.74</v>
      </c>
      <c r="U117" t="s">
        <v>483</v>
      </c>
      <c r="V117" s="8">
        <v>4.0000000000000002E-128</v>
      </c>
      <c r="W117">
        <v>92.57</v>
      </c>
      <c r="X117" s="3" t="s">
        <v>448</v>
      </c>
      <c r="Y117" s="3" t="s">
        <v>455</v>
      </c>
      <c r="Z117" s="3" t="s">
        <v>456</v>
      </c>
    </row>
    <row r="118" spans="1:26" s="1" customFormat="1" x14ac:dyDescent="0.25">
      <c r="A118" s="3" t="s">
        <v>342</v>
      </c>
      <c r="B118" s="3">
        <v>1</v>
      </c>
      <c r="C118" s="3">
        <f t="shared" si="1"/>
        <v>0</v>
      </c>
      <c r="D118" s="3">
        <v>296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343</v>
      </c>
      <c r="P118" s="3" t="s">
        <v>398</v>
      </c>
      <c r="Q118" s="3" t="s">
        <v>550</v>
      </c>
      <c r="R118" s="4">
        <v>1E-50</v>
      </c>
      <c r="S118" s="3">
        <v>176</v>
      </c>
      <c r="T118" s="3">
        <v>85.71</v>
      </c>
      <c r="U118" t="s">
        <v>483</v>
      </c>
      <c r="V118" s="8">
        <v>3.9999999999999996E-93</v>
      </c>
      <c r="W118">
        <v>89.93</v>
      </c>
      <c r="X118" s="3" t="s">
        <v>448</v>
      </c>
      <c r="Y118" s="3" t="s">
        <v>455</v>
      </c>
      <c r="Z118" s="3" t="s">
        <v>456</v>
      </c>
    </row>
    <row r="119" spans="1:26" s="1" customFormat="1" x14ac:dyDescent="0.25">
      <c r="A119" s="3" t="s">
        <v>176</v>
      </c>
      <c r="B119" s="3">
        <v>2</v>
      </c>
      <c r="C119" s="3">
        <f t="shared" si="1"/>
        <v>1</v>
      </c>
      <c r="D119" s="3">
        <v>776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177</v>
      </c>
      <c r="P119" s="3" t="s">
        <v>403</v>
      </c>
      <c r="Q119" s="3" t="s">
        <v>550</v>
      </c>
      <c r="R119" s="4">
        <v>3.9999999999999998E-44</v>
      </c>
      <c r="S119" s="3">
        <v>172</v>
      </c>
      <c r="T119" s="3">
        <v>51.85</v>
      </c>
      <c r="U119" t="s">
        <v>496</v>
      </c>
      <c r="V119" s="8">
        <v>3E-148</v>
      </c>
      <c r="W119">
        <v>93.09</v>
      </c>
      <c r="X119" s="3" t="s">
        <v>448</v>
      </c>
      <c r="Y119" s="3" t="s">
        <v>455</v>
      </c>
      <c r="Z119" s="3" t="s">
        <v>456</v>
      </c>
    </row>
    <row r="120" spans="1:26" s="1" customFormat="1" x14ac:dyDescent="0.25">
      <c r="A120" s="3" t="s">
        <v>275</v>
      </c>
      <c r="B120" s="3">
        <v>11</v>
      </c>
      <c r="C120" s="3">
        <f t="shared" si="1"/>
        <v>3.4594316186372978</v>
      </c>
      <c r="D120" s="3">
        <v>380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208</v>
      </c>
      <c r="P120" s="3" t="s">
        <v>403</v>
      </c>
      <c r="Q120" s="3" t="s">
        <v>550</v>
      </c>
      <c r="R120" s="4">
        <v>1.9999999999999999E-39</v>
      </c>
      <c r="S120" s="3">
        <v>153</v>
      </c>
      <c r="T120" s="3">
        <v>58.4</v>
      </c>
      <c r="U120" t="s">
        <v>494</v>
      </c>
      <c r="V120">
        <v>0</v>
      </c>
      <c r="W120">
        <v>99.74</v>
      </c>
      <c r="X120" s="3" t="s">
        <v>448</v>
      </c>
      <c r="Y120" s="3" t="s">
        <v>455</v>
      </c>
      <c r="Z120" s="3" t="s">
        <v>456</v>
      </c>
    </row>
    <row r="121" spans="1:26" s="1" customFormat="1" x14ac:dyDescent="0.25">
      <c r="A121" s="3" t="s">
        <v>276</v>
      </c>
      <c r="B121" s="3">
        <v>12</v>
      </c>
      <c r="C121" s="3">
        <f t="shared" si="1"/>
        <v>3.5849625007211565</v>
      </c>
      <c r="D121" s="3">
        <v>380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208</v>
      </c>
      <c r="P121" s="3" t="s">
        <v>403</v>
      </c>
      <c r="Q121" s="3" t="s">
        <v>550</v>
      </c>
      <c r="R121" s="4">
        <v>1.9999999999999999E-39</v>
      </c>
      <c r="S121" s="3">
        <v>153</v>
      </c>
      <c r="T121" s="3">
        <v>58.4</v>
      </c>
      <c r="U121" t="s">
        <v>507</v>
      </c>
      <c r="V121" s="8">
        <v>6.0000000000000002E-177</v>
      </c>
      <c r="W121">
        <v>96.55</v>
      </c>
      <c r="X121" s="3" t="s">
        <v>448</v>
      </c>
      <c r="Y121" s="3" t="s">
        <v>455</v>
      </c>
      <c r="Z121" s="3" t="s">
        <v>456</v>
      </c>
    </row>
    <row r="122" spans="1:26" x14ac:dyDescent="0.25">
      <c r="A122" s="3" t="s">
        <v>336</v>
      </c>
      <c r="B122" s="3">
        <v>1</v>
      </c>
      <c r="C122" s="3">
        <f t="shared" si="1"/>
        <v>0</v>
      </c>
      <c r="D122" s="3">
        <v>302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337</v>
      </c>
      <c r="P122" s="3" t="s">
        <v>398</v>
      </c>
      <c r="Q122" s="3" t="s">
        <v>550</v>
      </c>
      <c r="R122" s="4">
        <v>2.9999999999999999E-38</v>
      </c>
      <c r="S122" s="3">
        <v>139</v>
      </c>
      <c r="T122" s="3">
        <v>63</v>
      </c>
      <c r="U122" t="s">
        <v>504</v>
      </c>
      <c r="V122" s="8">
        <v>2E-155</v>
      </c>
      <c r="W122">
        <v>99.67</v>
      </c>
      <c r="X122" s="3" t="s">
        <v>448</v>
      </c>
      <c r="Y122" s="3" t="s">
        <v>455</v>
      </c>
      <c r="Z122" s="3" t="s">
        <v>456</v>
      </c>
    </row>
    <row r="123" spans="1:26" x14ac:dyDescent="0.25">
      <c r="A123" s="3" t="s">
        <v>327</v>
      </c>
      <c r="B123" s="3">
        <v>1</v>
      </c>
      <c r="C123" s="3">
        <f t="shared" si="1"/>
        <v>0</v>
      </c>
      <c r="D123" s="3">
        <v>306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208</v>
      </c>
      <c r="P123" s="3" t="s">
        <v>403</v>
      </c>
      <c r="Q123" s="3" t="s">
        <v>550</v>
      </c>
      <c r="R123" s="4">
        <v>6E-37</v>
      </c>
      <c r="S123" s="3">
        <v>145</v>
      </c>
      <c r="T123" s="3">
        <v>64.89</v>
      </c>
      <c r="U123" t="s">
        <v>489</v>
      </c>
      <c r="V123" s="8">
        <v>3E-134</v>
      </c>
      <c r="W123">
        <v>95.1</v>
      </c>
      <c r="X123" s="3" t="s">
        <v>448</v>
      </c>
      <c r="Y123" s="3" t="s">
        <v>455</v>
      </c>
      <c r="Z123" s="3" t="s">
        <v>456</v>
      </c>
    </row>
    <row r="124" spans="1:26" x14ac:dyDescent="0.25">
      <c r="A124" s="3" t="s">
        <v>344</v>
      </c>
      <c r="B124" s="3">
        <v>6.83</v>
      </c>
      <c r="C124" s="3">
        <f t="shared" si="1"/>
        <v>2.771885578515366</v>
      </c>
      <c r="D124" s="3">
        <v>291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208</v>
      </c>
      <c r="P124" s="3" t="s">
        <v>403</v>
      </c>
      <c r="Q124" s="3" t="s">
        <v>550</v>
      </c>
      <c r="R124" s="4">
        <v>2.9999999999999999E-35</v>
      </c>
      <c r="S124" s="3">
        <v>139</v>
      </c>
      <c r="T124" s="3">
        <v>65.17</v>
      </c>
      <c r="U124" t="s">
        <v>489</v>
      </c>
      <c r="V124" s="8">
        <v>3.0000000000000002E-149</v>
      </c>
      <c r="W124">
        <v>99.66</v>
      </c>
      <c r="X124" s="3" t="s">
        <v>448</v>
      </c>
      <c r="Y124" s="3" t="s">
        <v>455</v>
      </c>
      <c r="Z124" s="3" t="s">
        <v>456</v>
      </c>
    </row>
    <row r="125" spans="1:26" x14ac:dyDescent="0.25">
      <c r="A125" s="3" t="s">
        <v>338</v>
      </c>
      <c r="B125" s="3">
        <v>12</v>
      </c>
      <c r="C125" s="3">
        <f t="shared" si="1"/>
        <v>3.5849625007211565</v>
      </c>
      <c r="D125" s="3">
        <v>298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330</v>
      </c>
      <c r="P125" s="3" t="s">
        <v>403</v>
      </c>
      <c r="Q125" s="3" t="s">
        <v>550</v>
      </c>
      <c r="R125" s="4">
        <v>4.0000000000000002E-33</v>
      </c>
      <c r="S125" s="3">
        <v>134</v>
      </c>
      <c r="T125" s="3">
        <v>69.41</v>
      </c>
      <c r="U125" t="s">
        <v>492</v>
      </c>
      <c r="V125" s="8">
        <v>3.9999999999999997E-88</v>
      </c>
      <c r="W125">
        <v>92.58</v>
      </c>
      <c r="X125" s="3" t="s">
        <v>448</v>
      </c>
      <c r="Y125" s="3" t="s">
        <v>455</v>
      </c>
      <c r="Z125" s="3" t="s">
        <v>456</v>
      </c>
    </row>
    <row r="126" spans="1:26" x14ac:dyDescent="0.25">
      <c r="A126" s="3" t="s">
        <v>377</v>
      </c>
      <c r="B126" s="3">
        <v>3</v>
      </c>
      <c r="C126" s="3">
        <f t="shared" si="1"/>
        <v>1.5849625007211563</v>
      </c>
      <c r="D126" s="3">
        <v>250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337</v>
      </c>
      <c r="P126" s="3" t="s">
        <v>398</v>
      </c>
      <c r="Q126" s="3" t="s">
        <v>550</v>
      </c>
      <c r="R126" s="4">
        <v>5.0000000000000004E-31</v>
      </c>
      <c r="S126" s="3">
        <v>119</v>
      </c>
      <c r="T126" s="3">
        <v>66.27</v>
      </c>
      <c r="U126" t="s">
        <v>483</v>
      </c>
      <c r="V126" s="8">
        <v>4.9999999999999996E-77</v>
      </c>
      <c r="W126">
        <v>89.27</v>
      </c>
      <c r="X126" s="3" t="s">
        <v>448</v>
      </c>
      <c r="Y126" s="3" t="s">
        <v>455</v>
      </c>
      <c r="Z126" s="3" t="s">
        <v>456</v>
      </c>
    </row>
    <row r="127" spans="1:26" x14ac:dyDescent="0.25">
      <c r="A127" s="3" t="s">
        <v>380</v>
      </c>
      <c r="B127" s="3">
        <v>1</v>
      </c>
      <c r="C127" s="3">
        <f t="shared" si="1"/>
        <v>0</v>
      </c>
      <c r="D127" s="3">
        <v>248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381</v>
      </c>
      <c r="P127" s="3" t="s">
        <v>398</v>
      </c>
      <c r="Q127" s="3" t="s">
        <v>550</v>
      </c>
      <c r="R127" s="4">
        <v>1.0000000000000001E-30</v>
      </c>
      <c r="S127" s="3">
        <v>118</v>
      </c>
      <c r="T127" s="3">
        <v>68.290000000000006</v>
      </c>
      <c r="U127" t="s">
        <v>495</v>
      </c>
      <c r="V127" s="8">
        <v>2.0000000000000002E-111</v>
      </c>
      <c r="W127">
        <v>96.36</v>
      </c>
      <c r="X127" s="3" t="s">
        <v>448</v>
      </c>
      <c r="Y127" s="3" t="s">
        <v>455</v>
      </c>
      <c r="Z127" s="3" t="s">
        <v>456</v>
      </c>
    </row>
    <row r="128" spans="1:26" x14ac:dyDescent="0.25">
      <c r="A128" s="3" t="s">
        <v>395</v>
      </c>
      <c r="B128" s="3">
        <v>1</v>
      </c>
      <c r="C128" s="3">
        <f t="shared" si="1"/>
        <v>0</v>
      </c>
      <c r="D128" s="3">
        <v>231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337</v>
      </c>
      <c r="P128" s="3" t="s">
        <v>398</v>
      </c>
      <c r="Q128" s="3" t="s">
        <v>550</v>
      </c>
      <c r="R128" s="4">
        <v>8.0000000000000003E-26</v>
      </c>
      <c r="S128" s="3">
        <v>105</v>
      </c>
      <c r="T128" s="3">
        <v>65.790000000000006</v>
      </c>
      <c r="U128" t="s">
        <v>496</v>
      </c>
      <c r="V128" s="8">
        <v>4.9999999999999999E-86</v>
      </c>
      <c r="W128">
        <v>92.11</v>
      </c>
      <c r="X128" s="3" t="s">
        <v>448</v>
      </c>
      <c r="Y128" s="3" t="s">
        <v>455</v>
      </c>
      <c r="Z128" s="3" t="s">
        <v>456</v>
      </c>
    </row>
    <row r="129" spans="1:26" x14ac:dyDescent="0.25">
      <c r="A129" s="3" t="s">
        <v>232</v>
      </c>
      <c r="B129" s="3">
        <v>41</v>
      </c>
      <c r="C129" s="3">
        <f t="shared" si="1"/>
        <v>5.3575520046180838</v>
      </c>
      <c r="D129" s="3">
        <v>510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233</v>
      </c>
      <c r="K129" s="3" t="s">
        <v>234</v>
      </c>
      <c r="L129" s="4">
        <v>6.9999999999999997E-7</v>
      </c>
      <c r="M129" s="3">
        <v>65.8</v>
      </c>
      <c r="N129" s="3">
        <v>100</v>
      </c>
      <c r="O129" s="3" t="s">
        <v>235</v>
      </c>
      <c r="P129" s="3" t="s">
        <v>403</v>
      </c>
      <c r="Q129" s="3" t="s">
        <v>550</v>
      </c>
      <c r="R129" s="4">
        <v>1E-22</v>
      </c>
      <c r="S129" s="3">
        <v>106</v>
      </c>
      <c r="T129" s="3">
        <v>73.44</v>
      </c>
      <c r="U129" t="s">
        <v>483</v>
      </c>
      <c r="V129" s="8">
        <v>9.9999999999999994E-37</v>
      </c>
      <c r="W129">
        <v>95.92</v>
      </c>
      <c r="X129" s="3" t="s">
        <v>448</v>
      </c>
      <c r="Y129" s="3" t="s">
        <v>455</v>
      </c>
      <c r="Z129" s="3" t="s">
        <v>456</v>
      </c>
    </row>
    <row r="130" spans="1:26" x14ac:dyDescent="0.25">
      <c r="A130" s="3" t="s">
        <v>369</v>
      </c>
      <c r="B130" s="3">
        <v>9</v>
      </c>
      <c r="C130" s="3">
        <f t="shared" si="1"/>
        <v>3.1699250014423126</v>
      </c>
      <c r="D130" s="3">
        <v>266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208</v>
      </c>
      <c r="P130" s="3" t="s">
        <v>403</v>
      </c>
      <c r="Q130" s="3" t="s">
        <v>550</v>
      </c>
      <c r="R130" s="4">
        <v>8.9999999999999999E-18</v>
      </c>
      <c r="S130" s="3">
        <v>89.4</v>
      </c>
      <c r="T130" s="3">
        <v>64.91</v>
      </c>
      <c r="U130" t="s">
        <v>494</v>
      </c>
      <c r="V130" s="8">
        <v>2.0000000000000001E-135</v>
      </c>
      <c r="W130">
        <v>99.62</v>
      </c>
      <c r="X130" s="3" t="s">
        <v>448</v>
      </c>
      <c r="Y130" s="3" t="s">
        <v>455</v>
      </c>
      <c r="Z130" s="3" t="s">
        <v>456</v>
      </c>
    </row>
    <row r="131" spans="1:26" x14ac:dyDescent="0.25">
      <c r="A131" s="3" t="s">
        <v>227</v>
      </c>
      <c r="B131" s="3">
        <v>7</v>
      </c>
      <c r="C131" s="3">
        <f t="shared" ref="C131:C194" si="2">LOG(B131,2)</f>
        <v>2.8073549220576042</v>
      </c>
      <c r="D131" s="3">
        <v>516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228</v>
      </c>
      <c r="P131" s="3" t="s">
        <v>410</v>
      </c>
      <c r="Q131" s="3" t="s">
        <v>550</v>
      </c>
      <c r="R131" s="4">
        <v>2.9999999999999998E-14</v>
      </c>
      <c r="S131" s="3">
        <v>77</v>
      </c>
      <c r="T131" s="3">
        <v>56.52</v>
      </c>
      <c r="U131" t="s">
        <v>496</v>
      </c>
      <c r="V131" s="8">
        <v>9.9999999999999999E-91</v>
      </c>
      <c r="W131">
        <v>87.71</v>
      </c>
      <c r="X131" s="3" t="s">
        <v>448</v>
      </c>
      <c r="Y131" s="3" t="s">
        <v>455</v>
      </c>
      <c r="Z131" s="3" t="s">
        <v>456</v>
      </c>
    </row>
    <row r="132" spans="1:26" x14ac:dyDescent="0.25">
      <c r="A132" s="3" t="s">
        <v>390</v>
      </c>
      <c r="B132" s="3">
        <v>1</v>
      </c>
      <c r="C132" s="3">
        <f t="shared" si="2"/>
        <v>0</v>
      </c>
      <c r="D132" s="3">
        <v>239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391</v>
      </c>
      <c r="P132" s="3" t="s">
        <v>398</v>
      </c>
      <c r="Q132" s="3" t="s">
        <v>550</v>
      </c>
      <c r="R132" s="4">
        <v>4.9999999999999999E-13</v>
      </c>
      <c r="S132" s="3">
        <v>71.599999999999994</v>
      </c>
      <c r="T132" s="3">
        <v>67.44</v>
      </c>
      <c r="X132" s="3" t="s">
        <v>448</v>
      </c>
      <c r="Y132" s="3" t="s">
        <v>455</v>
      </c>
      <c r="Z132" s="3" t="s">
        <v>456</v>
      </c>
    </row>
    <row r="133" spans="1:26" x14ac:dyDescent="0.25">
      <c r="A133" s="3" t="s">
        <v>329</v>
      </c>
      <c r="B133" s="3">
        <v>3</v>
      </c>
      <c r="C133" s="3">
        <f t="shared" si="2"/>
        <v>1.5849625007211563</v>
      </c>
      <c r="D133" s="3">
        <v>305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330</v>
      </c>
      <c r="P133" s="3" t="s">
        <v>403</v>
      </c>
      <c r="Q133" s="3" t="s">
        <v>550</v>
      </c>
      <c r="R133" s="4">
        <v>1E-10</v>
      </c>
      <c r="S133" s="3">
        <v>68.900000000000006</v>
      </c>
      <c r="T133" s="3">
        <v>73.81</v>
      </c>
      <c r="U133" t="s">
        <v>496</v>
      </c>
      <c r="V133" s="8">
        <v>3.0000000000000002E-60</v>
      </c>
      <c r="W133">
        <v>91.86</v>
      </c>
      <c r="X133" s="3" t="s">
        <v>448</v>
      </c>
      <c r="Y133" s="3" t="s">
        <v>455</v>
      </c>
      <c r="Z133" s="3" t="s">
        <v>456</v>
      </c>
    </row>
    <row r="134" spans="1:26" x14ac:dyDescent="0.25">
      <c r="A134" s="3" t="s">
        <v>282</v>
      </c>
      <c r="B134" s="3">
        <v>3</v>
      </c>
      <c r="C134" s="3">
        <f t="shared" si="2"/>
        <v>1.5849625007211563</v>
      </c>
      <c r="D134" s="3">
        <v>374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235</v>
      </c>
      <c r="P134" s="3" t="s">
        <v>403</v>
      </c>
      <c r="Q134" s="3" t="s">
        <v>550</v>
      </c>
      <c r="R134" s="4">
        <v>8.0000000000000005E-9</v>
      </c>
      <c r="S134" s="3">
        <v>64.3</v>
      </c>
      <c r="T134" s="3">
        <v>45.74</v>
      </c>
      <c r="U134" t="s">
        <v>495</v>
      </c>
      <c r="V134" s="8">
        <v>2.9999999999999998E-165</v>
      </c>
      <c r="W134">
        <v>94.92</v>
      </c>
      <c r="X134" s="3" t="s">
        <v>448</v>
      </c>
      <c r="Y134" s="3" t="s">
        <v>455</v>
      </c>
      <c r="Z134" s="3" t="s">
        <v>456</v>
      </c>
    </row>
    <row r="135" spans="1:26" x14ac:dyDescent="0.25">
      <c r="A135" s="3" t="s">
        <v>317</v>
      </c>
      <c r="B135" s="3">
        <v>1</v>
      </c>
      <c r="C135" s="3">
        <f t="shared" si="2"/>
        <v>0</v>
      </c>
      <c r="D135" s="3">
        <v>316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318</v>
      </c>
      <c r="P135" s="3" t="s">
        <v>408</v>
      </c>
      <c r="Q135" s="3" t="s">
        <v>551</v>
      </c>
      <c r="R135" s="4">
        <v>6E-11</v>
      </c>
      <c r="S135" s="3">
        <v>66.599999999999994</v>
      </c>
      <c r="T135" s="3">
        <v>53.33</v>
      </c>
      <c r="U135" t="s">
        <v>529</v>
      </c>
      <c r="V135" s="8">
        <v>4E-79</v>
      </c>
      <c r="W135">
        <v>95.24</v>
      </c>
      <c r="X135" s="3" t="s">
        <v>448</v>
      </c>
      <c r="Y135" s="3" t="s">
        <v>452</v>
      </c>
      <c r="Z135" s="3" t="s">
        <v>452</v>
      </c>
    </row>
    <row r="136" spans="1:26" x14ac:dyDescent="0.25">
      <c r="A136" s="3" t="s">
        <v>358</v>
      </c>
      <c r="B136" s="3">
        <v>3</v>
      </c>
      <c r="C136" s="3">
        <f t="shared" si="2"/>
        <v>1.5849625007211563</v>
      </c>
      <c r="D136" s="3">
        <v>275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359</v>
      </c>
      <c r="P136" s="3" t="s">
        <v>429</v>
      </c>
      <c r="Q136" s="3" t="s">
        <v>552</v>
      </c>
      <c r="R136" s="4">
        <v>6E-34</v>
      </c>
      <c r="S136" s="3">
        <v>134</v>
      </c>
      <c r="T136" s="3">
        <v>67.39</v>
      </c>
      <c r="X136" s="3" t="s">
        <v>448</v>
      </c>
      <c r="Y136" s="3" t="s">
        <v>452</v>
      </c>
      <c r="Z136" s="3" t="s">
        <v>452</v>
      </c>
    </row>
    <row r="137" spans="1:26" x14ac:dyDescent="0.25">
      <c r="A137" s="3" t="s">
        <v>387</v>
      </c>
      <c r="B137" s="3">
        <v>2</v>
      </c>
      <c r="C137" s="3">
        <f t="shared" si="2"/>
        <v>1</v>
      </c>
      <c r="D137" s="3">
        <v>243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359</v>
      </c>
      <c r="P137" s="3" t="s">
        <v>429</v>
      </c>
      <c r="Q137" s="3" t="s">
        <v>552</v>
      </c>
      <c r="R137" s="4">
        <v>9.9999999999999992E-25</v>
      </c>
      <c r="S137" s="3">
        <v>108</v>
      </c>
      <c r="T137" s="3">
        <v>73.75</v>
      </c>
      <c r="X137" s="3" t="s">
        <v>448</v>
      </c>
      <c r="Y137" s="3" t="s">
        <v>452</v>
      </c>
      <c r="Z137" s="3" t="s">
        <v>452</v>
      </c>
    </row>
    <row r="138" spans="1:26" x14ac:dyDescent="0.25">
      <c r="A138" s="3" t="s">
        <v>211</v>
      </c>
      <c r="B138" s="3">
        <v>23.72</v>
      </c>
      <c r="C138" s="3">
        <f t="shared" si="2"/>
        <v>4.5680321047712793</v>
      </c>
      <c r="D138" s="3">
        <v>538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212</v>
      </c>
      <c r="P138" s="3" t="s">
        <v>403</v>
      </c>
      <c r="Q138" s="3" t="s">
        <v>553</v>
      </c>
      <c r="R138" s="4">
        <v>9.0000000000000004E-73</v>
      </c>
      <c r="S138" s="3">
        <v>251</v>
      </c>
      <c r="T138" s="3">
        <v>65.14</v>
      </c>
      <c r="U138" t="s">
        <v>507</v>
      </c>
      <c r="V138">
        <v>0</v>
      </c>
      <c r="W138">
        <v>95.34</v>
      </c>
      <c r="X138" s="3" t="s">
        <v>448</v>
      </c>
      <c r="Y138" s="3" t="s">
        <v>455</v>
      </c>
      <c r="Z138" s="3" t="s">
        <v>456</v>
      </c>
    </row>
    <row r="139" spans="1:26" x14ac:dyDescent="0.25">
      <c r="A139" s="3" t="s">
        <v>231</v>
      </c>
      <c r="B139" s="3">
        <v>31</v>
      </c>
      <c r="C139" s="3">
        <f t="shared" si="2"/>
        <v>4.9541963103868758</v>
      </c>
      <c r="D139" s="3">
        <v>511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212</v>
      </c>
      <c r="P139" s="3" t="s">
        <v>403</v>
      </c>
      <c r="Q139" s="3" t="s">
        <v>553</v>
      </c>
      <c r="R139" s="4">
        <v>9.9999999999999997E-73</v>
      </c>
      <c r="S139" s="3">
        <v>250</v>
      </c>
      <c r="T139" s="3">
        <v>66.27</v>
      </c>
      <c r="U139" t="s">
        <v>511</v>
      </c>
      <c r="V139">
        <v>0</v>
      </c>
      <c r="W139">
        <v>91.36</v>
      </c>
      <c r="X139" s="3" t="s">
        <v>448</v>
      </c>
      <c r="Y139" s="3" t="s">
        <v>455</v>
      </c>
      <c r="Z139" s="3" t="s">
        <v>456</v>
      </c>
    </row>
    <row r="140" spans="1:26" x14ac:dyDescent="0.25">
      <c r="A140" s="3" t="s">
        <v>225</v>
      </c>
      <c r="B140" s="3">
        <v>2</v>
      </c>
      <c r="C140" s="3">
        <f t="shared" si="2"/>
        <v>1</v>
      </c>
      <c r="D140" s="3">
        <v>517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226</v>
      </c>
      <c r="P140" s="3" t="s">
        <v>403</v>
      </c>
      <c r="Q140" s="3" t="s">
        <v>553</v>
      </c>
      <c r="R140" s="4">
        <v>9.9999999999999994E-68</v>
      </c>
      <c r="S140" s="3">
        <v>236</v>
      </c>
      <c r="T140" s="3">
        <v>63.37</v>
      </c>
      <c r="U140" t="s">
        <v>516</v>
      </c>
      <c r="V140" s="8">
        <v>2.0000000000000001E-152</v>
      </c>
      <c r="W140">
        <v>85.88</v>
      </c>
      <c r="X140" s="3" t="s">
        <v>448</v>
      </c>
      <c r="Y140" s="3" t="s">
        <v>455</v>
      </c>
      <c r="Z140" s="3" t="s">
        <v>456</v>
      </c>
    </row>
    <row r="141" spans="1:26" x14ac:dyDescent="0.25">
      <c r="A141" s="3" t="s">
        <v>260</v>
      </c>
      <c r="B141" s="3">
        <v>4</v>
      </c>
      <c r="C141" s="3">
        <f t="shared" si="2"/>
        <v>2</v>
      </c>
      <c r="D141" s="3">
        <v>434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212</v>
      </c>
      <c r="P141" s="3" t="s">
        <v>403</v>
      </c>
      <c r="Q141" s="3" t="s">
        <v>553</v>
      </c>
      <c r="R141" s="4">
        <v>1.9999999999999999E-64</v>
      </c>
      <c r="S141" s="3">
        <v>226</v>
      </c>
      <c r="T141" s="3">
        <v>68.75</v>
      </c>
      <c r="U141" t="s">
        <v>513</v>
      </c>
      <c r="V141" s="8">
        <v>1.9999999999999999E-178</v>
      </c>
      <c r="W141">
        <v>92.86</v>
      </c>
      <c r="X141" s="3" t="s">
        <v>448</v>
      </c>
      <c r="Y141" s="3" t="s">
        <v>455</v>
      </c>
      <c r="Z141" s="3" t="s">
        <v>456</v>
      </c>
    </row>
    <row r="142" spans="1:26" x14ac:dyDescent="0.25">
      <c r="A142" s="3" t="s">
        <v>281</v>
      </c>
      <c r="B142" s="3">
        <v>5</v>
      </c>
      <c r="C142" s="3">
        <f t="shared" si="2"/>
        <v>2.3219280948873622</v>
      </c>
      <c r="D142" s="3">
        <v>375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226</v>
      </c>
      <c r="P142" s="3" t="s">
        <v>403</v>
      </c>
      <c r="Q142" s="3" t="s">
        <v>553</v>
      </c>
      <c r="R142" s="4">
        <v>4.0000000000000001E-53</v>
      </c>
      <c r="S142" s="3">
        <v>192</v>
      </c>
      <c r="T142" s="3">
        <v>71.77</v>
      </c>
      <c r="U142" t="s">
        <v>495</v>
      </c>
      <c r="V142" s="8">
        <v>1.9999999999999999E-157</v>
      </c>
      <c r="W142">
        <v>93.62</v>
      </c>
      <c r="X142" s="3" t="s">
        <v>448</v>
      </c>
      <c r="Y142" s="3" t="s">
        <v>455</v>
      </c>
      <c r="Z142" s="3" t="s">
        <v>456</v>
      </c>
    </row>
    <row r="143" spans="1:26" x14ac:dyDescent="0.25">
      <c r="A143" s="3" t="s">
        <v>274</v>
      </c>
      <c r="B143" s="3">
        <v>4</v>
      </c>
      <c r="C143" s="3">
        <f t="shared" si="2"/>
        <v>2</v>
      </c>
      <c r="D143" s="3">
        <v>386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226</v>
      </c>
      <c r="P143" s="3" t="s">
        <v>403</v>
      </c>
      <c r="Q143" s="3" t="s">
        <v>553</v>
      </c>
      <c r="R143" s="4">
        <v>1E-51</v>
      </c>
      <c r="S143" s="3">
        <v>188</v>
      </c>
      <c r="T143" s="3">
        <v>68.75</v>
      </c>
      <c r="U143" t="s">
        <v>512</v>
      </c>
      <c r="V143" s="8">
        <v>1.9999999999999999E-112</v>
      </c>
      <c r="W143">
        <v>85.97</v>
      </c>
      <c r="X143" s="3" t="s">
        <v>448</v>
      </c>
      <c r="Y143" s="3" t="s">
        <v>455</v>
      </c>
      <c r="Z143" s="3" t="s">
        <v>456</v>
      </c>
    </row>
    <row r="144" spans="1:26" x14ac:dyDescent="0.25">
      <c r="A144" s="3" t="s">
        <v>311</v>
      </c>
      <c r="B144" s="3">
        <v>2</v>
      </c>
      <c r="C144" s="3">
        <f t="shared" si="2"/>
        <v>1</v>
      </c>
      <c r="D144" s="3">
        <v>334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188</v>
      </c>
      <c r="P144" s="3" t="s">
        <v>398</v>
      </c>
      <c r="Q144" s="3" t="s">
        <v>553</v>
      </c>
      <c r="R144" s="4">
        <v>2E-46</v>
      </c>
      <c r="S144" s="3">
        <v>161</v>
      </c>
      <c r="T144" s="3">
        <v>65.45</v>
      </c>
      <c r="U144" t="s">
        <v>520</v>
      </c>
      <c r="V144" s="8">
        <v>1E-134</v>
      </c>
      <c r="W144">
        <v>92.81</v>
      </c>
      <c r="X144" s="3" t="s">
        <v>448</v>
      </c>
      <c r="Y144" s="3" t="s">
        <v>455</v>
      </c>
      <c r="Z144" s="3" t="s">
        <v>456</v>
      </c>
    </row>
    <row r="145" spans="1:26" x14ac:dyDescent="0.25">
      <c r="A145" s="3" t="s">
        <v>347</v>
      </c>
      <c r="B145" s="3">
        <v>5</v>
      </c>
      <c r="C145" s="3">
        <f t="shared" si="2"/>
        <v>2.3219280948873622</v>
      </c>
      <c r="D145" s="3">
        <v>285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348</v>
      </c>
      <c r="P145" s="3" t="s">
        <v>398</v>
      </c>
      <c r="Q145" s="3" t="s">
        <v>553</v>
      </c>
      <c r="R145" s="4">
        <v>7.0000000000000004E-42</v>
      </c>
      <c r="S145" s="3">
        <v>149</v>
      </c>
      <c r="T145" s="3">
        <v>69.47</v>
      </c>
      <c r="X145" s="3" t="s">
        <v>448</v>
      </c>
      <c r="Y145" s="3" t="s">
        <v>455</v>
      </c>
      <c r="Z145" s="3" t="s">
        <v>456</v>
      </c>
    </row>
    <row r="146" spans="1:26" x14ac:dyDescent="0.25">
      <c r="A146" s="3" t="s">
        <v>187</v>
      </c>
      <c r="B146" s="3">
        <v>1</v>
      </c>
      <c r="C146" s="3">
        <f t="shared" si="2"/>
        <v>0</v>
      </c>
      <c r="D146" s="3">
        <v>696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188</v>
      </c>
      <c r="P146" s="3" t="s">
        <v>398</v>
      </c>
      <c r="Q146" s="3" t="s">
        <v>553</v>
      </c>
      <c r="R146" s="4">
        <v>9.0000000000000002E-39</v>
      </c>
      <c r="S146" s="3">
        <v>146</v>
      </c>
      <c r="T146" s="3">
        <v>55.97</v>
      </c>
      <c r="U146" t="s">
        <v>495</v>
      </c>
      <c r="V146">
        <v>0</v>
      </c>
      <c r="W146">
        <v>93.07</v>
      </c>
      <c r="X146" s="3" t="s">
        <v>448</v>
      </c>
      <c r="Y146" s="3" t="s">
        <v>455</v>
      </c>
      <c r="Z146" s="3" t="s">
        <v>456</v>
      </c>
    </row>
    <row r="147" spans="1:26" x14ac:dyDescent="0.25">
      <c r="A147" s="3" t="s">
        <v>370</v>
      </c>
      <c r="B147" s="3">
        <v>3</v>
      </c>
      <c r="C147" s="3">
        <f t="shared" si="2"/>
        <v>1.5849625007211563</v>
      </c>
      <c r="D147" s="3">
        <v>265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226</v>
      </c>
      <c r="P147" s="3" t="s">
        <v>403</v>
      </c>
      <c r="Q147" s="3" t="s">
        <v>553</v>
      </c>
      <c r="R147" s="4">
        <v>3E-34</v>
      </c>
      <c r="S147" s="3">
        <v>136</v>
      </c>
      <c r="T147" s="3">
        <v>71.260000000000005</v>
      </c>
      <c r="U147" t="s">
        <v>489</v>
      </c>
      <c r="V147" s="8">
        <v>4.9999999999999996E-77</v>
      </c>
      <c r="W147">
        <v>87.16</v>
      </c>
      <c r="X147" s="3" t="s">
        <v>448</v>
      </c>
      <c r="Y147" s="3" t="s">
        <v>455</v>
      </c>
      <c r="Z147" s="3" t="s">
        <v>456</v>
      </c>
    </row>
    <row r="148" spans="1:26" x14ac:dyDescent="0.25">
      <c r="A148" s="3" t="s">
        <v>202</v>
      </c>
      <c r="B148" s="3">
        <v>9</v>
      </c>
      <c r="C148" s="3">
        <f t="shared" si="2"/>
        <v>3.1699250014423126</v>
      </c>
      <c r="D148" s="3">
        <v>571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188</v>
      </c>
      <c r="P148" s="3" t="s">
        <v>398</v>
      </c>
      <c r="Q148" s="3" t="s">
        <v>553</v>
      </c>
      <c r="R148" s="4">
        <v>3.0000000000000002E-33</v>
      </c>
      <c r="S148" s="3">
        <v>130</v>
      </c>
      <c r="T148" s="3">
        <v>52.82</v>
      </c>
      <c r="U148" t="s">
        <v>493</v>
      </c>
      <c r="V148" s="8">
        <v>1.9999999999999999E-148</v>
      </c>
      <c r="W148">
        <v>95.74</v>
      </c>
      <c r="X148" s="3" t="s">
        <v>448</v>
      </c>
      <c r="Y148" s="3" t="s">
        <v>455</v>
      </c>
      <c r="Z148" s="3" t="s">
        <v>456</v>
      </c>
    </row>
    <row r="149" spans="1:26" x14ac:dyDescent="0.25">
      <c r="A149" s="3" t="s">
        <v>270</v>
      </c>
      <c r="B149" s="3">
        <v>2.17</v>
      </c>
      <c r="C149" s="3">
        <f t="shared" si="2"/>
        <v>1.1176950426697545</v>
      </c>
      <c r="D149" s="3">
        <v>393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188</v>
      </c>
      <c r="P149" s="3" t="s">
        <v>398</v>
      </c>
      <c r="Q149" s="3" t="s">
        <v>553</v>
      </c>
      <c r="R149" s="4">
        <v>4.9999999999999999E-29</v>
      </c>
      <c r="S149" s="3">
        <v>117</v>
      </c>
      <c r="T149" s="3">
        <v>59.76</v>
      </c>
      <c r="U149" t="s">
        <v>489</v>
      </c>
      <c r="V149" s="8">
        <v>4.0000000000000002E-134</v>
      </c>
      <c r="W149">
        <v>99.62</v>
      </c>
      <c r="X149" s="3" t="s">
        <v>448</v>
      </c>
      <c r="Y149" s="3" t="s">
        <v>455</v>
      </c>
      <c r="Z149" s="3" t="s">
        <v>456</v>
      </c>
    </row>
    <row r="150" spans="1:26" x14ac:dyDescent="0.25">
      <c r="A150" s="3" t="s">
        <v>396</v>
      </c>
      <c r="B150" s="3">
        <v>1</v>
      </c>
      <c r="C150" s="3">
        <f t="shared" si="2"/>
        <v>0</v>
      </c>
      <c r="D150" s="3">
        <v>224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348</v>
      </c>
      <c r="P150" s="3" t="s">
        <v>398</v>
      </c>
      <c r="Q150" s="3" t="s">
        <v>553</v>
      </c>
      <c r="R150" s="4">
        <v>3.0000000000000001E-27</v>
      </c>
      <c r="S150" s="3">
        <v>110</v>
      </c>
      <c r="T150" s="3">
        <v>68.489999999999995</v>
      </c>
      <c r="U150" t="s">
        <v>483</v>
      </c>
      <c r="V150" s="8">
        <v>9.9999999999999997E-73</v>
      </c>
      <c r="W150">
        <v>90.82</v>
      </c>
      <c r="X150" s="3" t="s">
        <v>448</v>
      </c>
      <c r="Y150" s="3" t="s">
        <v>455</v>
      </c>
      <c r="Z150" s="3" t="s">
        <v>456</v>
      </c>
    </row>
    <row r="151" spans="1:26" x14ac:dyDescent="0.25">
      <c r="A151" s="3" t="s">
        <v>257</v>
      </c>
      <c r="B151" s="3">
        <v>2</v>
      </c>
      <c r="C151" s="3">
        <f t="shared" si="2"/>
        <v>1</v>
      </c>
      <c r="D151" s="3">
        <v>450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226</v>
      </c>
      <c r="P151" s="3" t="s">
        <v>403</v>
      </c>
      <c r="Q151" s="3" t="s">
        <v>553</v>
      </c>
      <c r="R151" s="4">
        <v>1E-26</v>
      </c>
      <c r="S151" s="3">
        <v>117</v>
      </c>
      <c r="T151" s="3">
        <v>72</v>
      </c>
      <c r="U151" t="s">
        <v>491</v>
      </c>
      <c r="V151" s="8">
        <v>9.9999999999999999E-96</v>
      </c>
      <c r="W151">
        <v>96.71</v>
      </c>
      <c r="X151" s="3" t="s">
        <v>448</v>
      </c>
      <c r="Y151" s="3" t="s">
        <v>455</v>
      </c>
      <c r="Z151" s="3" t="s">
        <v>456</v>
      </c>
    </row>
    <row r="152" spans="1:26" x14ac:dyDescent="0.25">
      <c r="A152" s="3" t="s">
        <v>328</v>
      </c>
      <c r="B152" s="3">
        <v>1.28</v>
      </c>
      <c r="C152" s="3">
        <f t="shared" si="2"/>
        <v>0.35614381022527536</v>
      </c>
      <c r="D152" s="3">
        <v>305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188</v>
      </c>
      <c r="P152" s="3" t="s">
        <v>398</v>
      </c>
      <c r="Q152" s="3" t="s">
        <v>553</v>
      </c>
      <c r="R152" s="4">
        <v>1E-25</v>
      </c>
      <c r="S152" s="3">
        <v>107</v>
      </c>
      <c r="T152" s="3">
        <v>59.76</v>
      </c>
      <c r="U152" t="s">
        <v>495</v>
      </c>
      <c r="V152" s="8">
        <v>3.0000000000000002E-109</v>
      </c>
      <c r="W152">
        <v>96.3</v>
      </c>
      <c r="X152" s="3" t="s">
        <v>448</v>
      </c>
      <c r="Y152" s="3" t="s">
        <v>455</v>
      </c>
      <c r="Z152" s="3" t="s">
        <v>456</v>
      </c>
    </row>
    <row r="153" spans="1:26" x14ac:dyDescent="0.25">
      <c r="A153" s="3" t="s">
        <v>331</v>
      </c>
      <c r="B153" s="3">
        <v>1</v>
      </c>
      <c r="C153" s="3">
        <f t="shared" si="2"/>
        <v>0</v>
      </c>
      <c r="D153" s="3">
        <v>305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188</v>
      </c>
      <c r="P153" s="3" t="s">
        <v>398</v>
      </c>
      <c r="Q153" s="3" t="s">
        <v>553</v>
      </c>
      <c r="R153" s="4">
        <v>2.0000000000000001E-18</v>
      </c>
      <c r="S153" s="3">
        <v>87.8</v>
      </c>
      <c r="T153" s="3">
        <v>62.69</v>
      </c>
      <c r="U153" t="s">
        <v>490</v>
      </c>
      <c r="V153" s="8">
        <v>2.9999999999999999E-75</v>
      </c>
      <c r="W153">
        <v>92.89</v>
      </c>
      <c r="X153" s="3" t="s">
        <v>448</v>
      </c>
      <c r="Y153" s="3" t="s">
        <v>455</v>
      </c>
      <c r="Z153" s="3" t="s">
        <v>456</v>
      </c>
    </row>
    <row r="154" spans="1:26" x14ac:dyDescent="0.25">
      <c r="A154" s="3" t="s">
        <v>169</v>
      </c>
      <c r="B154" s="3">
        <v>3</v>
      </c>
      <c r="C154" s="3">
        <f t="shared" si="2"/>
        <v>1.5849625007211563</v>
      </c>
      <c r="D154" s="3">
        <v>815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170</v>
      </c>
      <c r="P154" s="3" t="s">
        <v>410</v>
      </c>
      <c r="Q154" s="3" t="s">
        <v>553</v>
      </c>
      <c r="R154" s="4">
        <v>9.9999999999999994E-12</v>
      </c>
      <c r="S154" s="3">
        <v>71.2</v>
      </c>
      <c r="T154" s="3">
        <v>47.22</v>
      </c>
      <c r="U154" t="s">
        <v>495</v>
      </c>
      <c r="V154">
        <v>0</v>
      </c>
      <c r="W154">
        <v>89.99</v>
      </c>
      <c r="X154" s="3" t="s">
        <v>448</v>
      </c>
      <c r="Y154" s="3" t="s">
        <v>455</v>
      </c>
      <c r="Z154" s="3" t="s">
        <v>456</v>
      </c>
    </row>
    <row r="155" spans="1:26" x14ac:dyDescent="0.25">
      <c r="A155" s="3" t="s">
        <v>305</v>
      </c>
      <c r="B155" s="3">
        <v>2</v>
      </c>
      <c r="C155" s="3">
        <f t="shared" si="2"/>
        <v>1</v>
      </c>
      <c r="D155" s="3">
        <v>339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226</v>
      </c>
      <c r="P155" s="3" t="s">
        <v>403</v>
      </c>
      <c r="Q155" s="3" t="s">
        <v>553</v>
      </c>
      <c r="R155" s="4">
        <v>6.9999999999999997E-7</v>
      </c>
      <c r="S155" s="3">
        <v>58.2</v>
      </c>
      <c r="T155" s="3">
        <v>55.77</v>
      </c>
      <c r="U155" t="s">
        <v>491</v>
      </c>
      <c r="V155" s="8">
        <v>7.9999999999999996E-126</v>
      </c>
      <c r="W155">
        <v>95.44</v>
      </c>
      <c r="X155" s="3" t="s">
        <v>448</v>
      </c>
      <c r="Y155" s="3" t="s">
        <v>455</v>
      </c>
      <c r="Z155" s="3" t="s">
        <v>456</v>
      </c>
    </row>
    <row r="156" spans="1:26" x14ac:dyDescent="0.25">
      <c r="A156" s="3" t="s">
        <v>78</v>
      </c>
      <c r="B156" s="3">
        <v>3</v>
      </c>
      <c r="C156" s="3">
        <f t="shared" si="2"/>
        <v>1.5849625007211563</v>
      </c>
      <c r="D156" s="3">
        <v>272</v>
      </c>
      <c r="E156" s="3" t="s">
        <v>60</v>
      </c>
      <c r="F156" s="3" t="s">
        <v>61</v>
      </c>
      <c r="G156" s="4">
        <v>1E-13</v>
      </c>
      <c r="H156" s="3">
        <v>78.7</v>
      </c>
      <c r="I156" s="3">
        <v>94.23</v>
      </c>
      <c r="J156" s="3" t="s">
        <v>62</v>
      </c>
      <c r="K156" s="3" t="s">
        <v>61</v>
      </c>
      <c r="L156" s="4">
        <v>5.0000000000000002E-11</v>
      </c>
      <c r="M156" s="3">
        <v>78.7</v>
      </c>
      <c r="N156" s="3">
        <v>94.23</v>
      </c>
      <c r="O156" s="3" t="s">
        <v>79</v>
      </c>
      <c r="P156" s="3" t="s">
        <v>403</v>
      </c>
      <c r="Q156" s="3" t="s">
        <v>435</v>
      </c>
      <c r="R156" s="4">
        <v>9.9999999999999996E-39</v>
      </c>
      <c r="S156" s="3">
        <v>149</v>
      </c>
      <c r="T156" s="3">
        <v>70</v>
      </c>
      <c r="U156" t="s">
        <v>498</v>
      </c>
      <c r="V156" s="8">
        <v>1.9999999999999999E-80</v>
      </c>
      <c r="W156">
        <v>90.13</v>
      </c>
      <c r="X156" s="3" t="s">
        <v>448</v>
      </c>
      <c r="Y156" s="3" t="s">
        <v>452</v>
      </c>
      <c r="Z156" s="3" t="s">
        <v>452</v>
      </c>
    </row>
    <row r="157" spans="1:26" x14ac:dyDescent="0.25">
      <c r="A157" s="3" t="s">
        <v>218</v>
      </c>
      <c r="B157" s="3">
        <v>11.88</v>
      </c>
      <c r="C157" s="3">
        <f t="shared" si="2"/>
        <v>3.5704629310260412</v>
      </c>
      <c r="D157" s="3">
        <v>523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79</v>
      </c>
      <c r="P157" s="3" t="s">
        <v>403</v>
      </c>
      <c r="Q157" s="3" t="s">
        <v>435</v>
      </c>
      <c r="R157" s="4">
        <v>2.0000000000000001E-32</v>
      </c>
      <c r="S157" s="3">
        <v>135</v>
      </c>
      <c r="T157" s="3">
        <v>50</v>
      </c>
      <c r="U157" t="s">
        <v>502</v>
      </c>
      <c r="V157" s="8">
        <v>6.0000000000000004E-119</v>
      </c>
      <c r="W157">
        <v>87.63</v>
      </c>
      <c r="X157" s="3" t="s">
        <v>448</v>
      </c>
      <c r="Y157" s="3" t="s">
        <v>452</v>
      </c>
      <c r="Z157" s="3" t="s">
        <v>452</v>
      </c>
    </row>
    <row r="158" spans="1:26" x14ac:dyDescent="0.25">
      <c r="A158" s="3" t="s">
        <v>239</v>
      </c>
      <c r="B158" s="3">
        <v>1.1200000000000001</v>
      </c>
      <c r="C158" s="3">
        <f t="shared" si="2"/>
        <v>0.16349873228287956</v>
      </c>
      <c r="D158" s="3">
        <v>491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79</v>
      </c>
      <c r="P158" s="3" t="s">
        <v>403</v>
      </c>
      <c r="Q158" s="3" t="s">
        <v>435</v>
      </c>
      <c r="R158" s="4">
        <v>6.0000000000000005E-29</v>
      </c>
      <c r="S158" s="3">
        <v>124</v>
      </c>
      <c r="T158" s="3">
        <v>49.18</v>
      </c>
      <c r="U158" t="s">
        <v>502</v>
      </c>
      <c r="V158" s="8">
        <v>3.0000000000000002E-91</v>
      </c>
      <c r="W158">
        <v>88.34</v>
      </c>
      <c r="X158" s="3" t="s">
        <v>448</v>
      </c>
      <c r="Y158" s="3" t="s">
        <v>452</v>
      </c>
      <c r="Z158" s="3" t="s">
        <v>452</v>
      </c>
    </row>
    <row r="159" spans="1:26" x14ac:dyDescent="0.25">
      <c r="A159" s="3" t="s">
        <v>312</v>
      </c>
      <c r="B159" s="3">
        <v>1</v>
      </c>
      <c r="C159" s="3">
        <f t="shared" si="2"/>
        <v>0</v>
      </c>
      <c r="D159" s="3">
        <v>331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79</v>
      </c>
      <c r="P159" s="3" t="s">
        <v>403</v>
      </c>
      <c r="Q159" s="3" t="s">
        <v>435</v>
      </c>
      <c r="R159" s="4">
        <v>7.0000000000000005E-13</v>
      </c>
      <c r="S159" s="3">
        <v>75.900000000000006</v>
      </c>
      <c r="T159" s="3">
        <v>58.11</v>
      </c>
      <c r="U159" t="s">
        <v>496</v>
      </c>
      <c r="V159" s="8">
        <v>3.9999999999999997E-39</v>
      </c>
      <c r="W159">
        <v>91.74</v>
      </c>
      <c r="X159" s="3" t="s">
        <v>448</v>
      </c>
      <c r="Y159" s="3" t="s">
        <v>452</v>
      </c>
      <c r="Z159" s="3" t="s">
        <v>452</v>
      </c>
    </row>
    <row r="160" spans="1:26" x14ac:dyDescent="0.25">
      <c r="A160" s="3" t="s">
        <v>335</v>
      </c>
      <c r="B160" s="3">
        <v>1</v>
      </c>
      <c r="C160" s="3">
        <f t="shared" si="2"/>
        <v>0</v>
      </c>
      <c r="D160" s="3">
        <v>302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79</v>
      </c>
      <c r="P160" s="3" t="s">
        <v>403</v>
      </c>
      <c r="Q160" s="3" t="s">
        <v>435</v>
      </c>
      <c r="R160" s="4">
        <v>2E-8</v>
      </c>
      <c r="S160" s="3">
        <v>62.8</v>
      </c>
      <c r="T160" s="3">
        <v>45.59</v>
      </c>
      <c r="X160" s="3" t="s">
        <v>448</v>
      </c>
      <c r="Y160" s="3" t="s">
        <v>452</v>
      </c>
      <c r="Z160" s="3" t="s">
        <v>452</v>
      </c>
    </row>
    <row r="161" spans="1:26" x14ac:dyDescent="0.25">
      <c r="A161" s="3" t="s">
        <v>325</v>
      </c>
      <c r="B161" s="3">
        <v>1</v>
      </c>
      <c r="C161" s="3">
        <f t="shared" si="2"/>
        <v>0</v>
      </c>
      <c r="D161" s="3">
        <v>308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79</v>
      </c>
      <c r="P161" s="3" t="s">
        <v>403</v>
      </c>
      <c r="Q161" s="3" t="s">
        <v>435</v>
      </c>
      <c r="R161" s="4">
        <v>9.9999999999999995E-7</v>
      </c>
      <c r="S161" s="3">
        <v>57</v>
      </c>
      <c r="T161" s="3">
        <v>52.94</v>
      </c>
      <c r="U161" t="s">
        <v>487</v>
      </c>
      <c r="V161" s="8">
        <v>9E-120</v>
      </c>
      <c r="W161">
        <v>95.26</v>
      </c>
      <c r="X161" s="3" t="s">
        <v>448</v>
      </c>
      <c r="Y161" s="3" t="s">
        <v>452</v>
      </c>
      <c r="Z161" s="3" t="s">
        <v>452</v>
      </c>
    </row>
    <row r="162" spans="1:26" x14ac:dyDescent="0.25">
      <c r="A162" s="3" t="s">
        <v>86</v>
      </c>
      <c r="B162" s="3">
        <v>2</v>
      </c>
      <c r="C162" s="3">
        <f t="shared" si="2"/>
        <v>1</v>
      </c>
      <c r="D162" s="3">
        <v>226</v>
      </c>
      <c r="E162" s="3" t="s">
        <v>87</v>
      </c>
      <c r="F162" s="3" t="s">
        <v>88</v>
      </c>
      <c r="G162" s="4">
        <v>9.9999999999999993E-78</v>
      </c>
      <c r="H162" s="3">
        <v>291</v>
      </c>
      <c r="I162" s="3">
        <v>90.13</v>
      </c>
      <c r="J162" s="3" t="s">
        <v>89</v>
      </c>
      <c r="K162" s="3" t="s">
        <v>90</v>
      </c>
      <c r="L162" s="4">
        <v>3.9999999999999998E-75</v>
      </c>
      <c r="M162" s="3">
        <v>291</v>
      </c>
      <c r="N162" s="3">
        <v>90.13</v>
      </c>
      <c r="O162" s="3" t="s">
        <v>91</v>
      </c>
      <c r="P162" s="3" t="s">
        <v>405</v>
      </c>
      <c r="Q162" s="3" t="s">
        <v>436</v>
      </c>
      <c r="R162" s="4">
        <v>3.9999999999999998E-44</v>
      </c>
      <c r="S162" s="3">
        <v>155</v>
      </c>
      <c r="T162" s="3">
        <v>95.95</v>
      </c>
      <c r="X162" s="3" t="s">
        <v>448</v>
      </c>
      <c r="Y162" s="3" t="s">
        <v>453</v>
      </c>
      <c r="Z162" s="3" t="s">
        <v>454</v>
      </c>
    </row>
    <row r="163" spans="1:26" x14ac:dyDescent="0.25">
      <c r="A163" s="3" t="s">
        <v>213</v>
      </c>
      <c r="B163" s="3">
        <v>2.41</v>
      </c>
      <c r="C163" s="3">
        <f t="shared" si="2"/>
        <v>1.2690331464552369</v>
      </c>
      <c r="D163" s="3">
        <v>535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214</v>
      </c>
      <c r="P163" s="3" t="s">
        <v>421</v>
      </c>
      <c r="Q163" s="3" t="s">
        <v>554</v>
      </c>
      <c r="R163" s="4">
        <v>2E-73</v>
      </c>
      <c r="S163" s="3">
        <v>248</v>
      </c>
      <c r="T163" s="3">
        <v>64.25</v>
      </c>
      <c r="X163" s="3" t="s">
        <v>448</v>
      </c>
      <c r="Y163" s="3" t="s">
        <v>452</v>
      </c>
      <c r="Z163" s="3" t="s">
        <v>452</v>
      </c>
    </row>
    <row r="164" spans="1:26" x14ac:dyDescent="0.25">
      <c r="A164" s="3" t="s">
        <v>269</v>
      </c>
      <c r="B164" s="3">
        <v>2.59</v>
      </c>
      <c r="C164" s="3">
        <f t="shared" si="2"/>
        <v>1.3729520979118293</v>
      </c>
      <c r="D164" s="3">
        <v>407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214</v>
      </c>
      <c r="P164" s="3" t="s">
        <v>421</v>
      </c>
      <c r="Q164" s="3" t="s">
        <v>554</v>
      </c>
      <c r="R164" s="4">
        <v>9.9999999999999999E-56</v>
      </c>
      <c r="S164" s="3">
        <v>197</v>
      </c>
      <c r="T164" s="3">
        <v>68.180000000000007</v>
      </c>
      <c r="X164" s="3" t="s">
        <v>448</v>
      </c>
      <c r="Y164" s="3" t="s">
        <v>452</v>
      </c>
      <c r="Z164" s="3" t="s">
        <v>452</v>
      </c>
    </row>
    <row r="165" spans="1:26" x14ac:dyDescent="0.25">
      <c r="A165" s="3" t="s">
        <v>301</v>
      </c>
      <c r="B165" s="3">
        <v>7</v>
      </c>
      <c r="C165" s="3">
        <f t="shared" si="2"/>
        <v>2.8073549220576042</v>
      </c>
      <c r="D165" s="3">
        <v>347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302</v>
      </c>
      <c r="P165" s="3" t="s">
        <v>427</v>
      </c>
      <c r="Q165" s="3" t="s">
        <v>555</v>
      </c>
      <c r="R165" s="4">
        <v>1E-13</v>
      </c>
      <c r="S165" s="3">
        <v>78.2</v>
      </c>
      <c r="T165" s="3">
        <v>35.29</v>
      </c>
      <c r="X165" s="3" t="s">
        <v>448</v>
      </c>
      <c r="Y165" s="3" t="s">
        <v>452</v>
      </c>
      <c r="Z165" s="3" t="s">
        <v>452</v>
      </c>
    </row>
    <row r="166" spans="1:26" x14ac:dyDescent="0.25">
      <c r="A166" s="3" t="s">
        <v>379</v>
      </c>
      <c r="B166" s="3">
        <v>4</v>
      </c>
      <c r="C166" s="3">
        <f t="shared" si="2"/>
        <v>2</v>
      </c>
      <c r="D166" s="3">
        <v>249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300</v>
      </c>
      <c r="P166" s="3" t="s">
        <v>403</v>
      </c>
      <c r="Q166" s="3" t="s">
        <v>556</v>
      </c>
      <c r="R166" s="4">
        <v>1E-14</v>
      </c>
      <c r="S166" s="3">
        <v>79.7</v>
      </c>
      <c r="T166" s="3">
        <v>54.55</v>
      </c>
      <c r="U166" t="s">
        <v>490</v>
      </c>
      <c r="V166" s="8">
        <v>7.9999999999999997E-75</v>
      </c>
      <c r="W166">
        <v>92.46</v>
      </c>
      <c r="X166" s="3" t="s">
        <v>448</v>
      </c>
      <c r="Y166" s="3" t="s">
        <v>455</v>
      </c>
      <c r="Z166" s="3" t="s">
        <v>456</v>
      </c>
    </row>
    <row r="167" spans="1:26" x14ac:dyDescent="0.25">
      <c r="A167" s="3" t="s">
        <v>147</v>
      </c>
      <c r="B167" s="3">
        <v>35.68</v>
      </c>
      <c r="C167" s="3">
        <f t="shared" si="2"/>
        <v>5.1570437101455804</v>
      </c>
      <c r="D167" s="3">
        <v>1657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148</v>
      </c>
      <c r="P167" s="3" t="s">
        <v>421</v>
      </c>
      <c r="Q167" s="3" t="s">
        <v>439</v>
      </c>
      <c r="R167" s="3">
        <v>0</v>
      </c>
      <c r="S167" s="3">
        <v>573</v>
      </c>
      <c r="T167" s="3">
        <v>50.18</v>
      </c>
      <c r="X167" s="3" t="s">
        <v>448</v>
      </c>
      <c r="Y167" s="3" t="s">
        <v>452</v>
      </c>
      <c r="Z167" s="3" t="s">
        <v>452</v>
      </c>
    </row>
    <row r="168" spans="1:26" x14ac:dyDescent="0.25">
      <c r="A168" s="3" t="s">
        <v>168</v>
      </c>
      <c r="B168" s="3">
        <v>6.32</v>
      </c>
      <c r="C168" s="3">
        <f t="shared" si="2"/>
        <v>2.6599245584023783</v>
      </c>
      <c r="D168" s="3">
        <v>815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148</v>
      </c>
      <c r="P168" s="3" t="s">
        <v>421</v>
      </c>
      <c r="Q168" s="3" t="s">
        <v>439</v>
      </c>
      <c r="R168" s="4">
        <v>8.0000000000000003E-61</v>
      </c>
      <c r="S168" s="3">
        <v>217</v>
      </c>
      <c r="T168" s="3">
        <v>39.85</v>
      </c>
      <c r="X168" s="3" t="s">
        <v>448</v>
      </c>
      <c r="Y168" s="3" t="s">
        <v>452</v>
      </c>
      <c r="Z168" s="3" t="s">
        <v>452</v>
      </c>
    </row>
    <row r="169" spans="1:26" x14ac:dyDescent="0.25">
      <c r="A169" s="3" t="s">
        <v>182</v>
      </c>
      <c r="B169" s="3">
        <v>6</v>
      </c>
      <c r="C169" s="3">
        <f t="shared" si="2"/>
        <v>2.5849625007211561</v>
      </c>
      <c r="D169" s="3">
        <v>718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183</v>
      </c>
      <c r="P169" s="3" t="s">
        <v>426</v>
      </c>
      <c r="Q169" s="3" t="s">
        <v>557</v>
      </c>
      <c r="R169" s="4">
        <v>2.9999999999999998E-15</v>
      </c>
      <c r="S169" s="3">
        <v>87</v>
      </c>
      <c r="T169" s="3">
        <v>37.880000000000003</v>
      </c>
      <c r="U169" t="s">
        <v>534</v>
      </c>
      <c r="V169">
        <v>0</v>
      </c>
      <c r="W169">
        <v>97.73</v>
      </c>
      <c r="X169" s="3" t="s">
        <v>448</v>
      </c>
      <c r="Y169" s="3" t="s">
        <v>452</v>
      </c>
      <c r="Z169" s="3" t="s">
        <v>452</v>
      </c>
    </row>
    <row r="170" spans="1:26" x14ac:dyDescent="0.25">
      <c r="A170" s="3" t="s">
        <v>279</v>
      </c>
      <c r="B170" s="3">
        <v>3</v>
      </c>
      <c r="C170" s="3">
        <f t="shared" si="2"/>
        <v>1.5849625007211563</v>
      </c>
      <c r="D170" s="3">
        <v>375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280</v>
      </c>
      <c r="P170" s="3" t="s">
        <v>426</v>
      </c>
      <c r="Q170" s="3" t="s">
        <v>558</v>
      </c>
      <c r="R170" s="4">
        <v>9.9999999999999995E-7</v>
      </c>
      <c r="S170" s="3">
        <v>56.2</v>
      </c>
      <c r="T170" s="3">
        <v>36.08</v>
      </c>
      <c r="X170" s="3" t="s">
        <v>448</v>
      </c>
      <c r="Y170" s="3" t="s">
        <v>452</v>
      </c>
      <c r="Z170" s="3" t="s">
        <v>452</v>
      </c>
    </row>
    <row r="171" spans="1:26" x14ac:dyDescent="0.25">
      <c r="A171" s="3" t="s">
        <v>154</v>
      </c>
      <c r="B171" s="3">
        <v>21.8</v>
      </c>
      <c r="C171" s="3">
        <f t="shared" si="2"/>
        <v>4.4462562298895643</v>
      </c>
      <c r="D171" s="3">
        <v>1094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150</v>
      </c>
      <c r="P171" s="3" t="s">
        <v>422</v>
      </c>
      <c r="Q171" s="3" t="s">
        <v>559</v>
      </c>
      <c r="R171" s="4">
        <v>3.0000000000000002E-60</v>
      </c>
      <c r="S171" s="3">
        <v>223</v>
      </c>
      <c r="T171" s="3">
        <v>38.24</v>
      </c>
      <c r="U171" t="s">
        <v>512</v>
      </c>
      <c r="V171">
        <v>0</v>
      </c>
      <c r="W171">
        <v>93.05</v>
      </c>
      <c r="X171" s="3" t="s">
        <v>448</v>
      </c>
      <c r="Y171" s="3" t="s">
        <v>455</v>
      </c>
      <c r="Z171" s="3" t="s">
        <v>456</v>
      </c>
    </row>
    <row r="172" spans="1:26" x14ac:dyDescent="0.25">
      <c r="A172" s="3" t="s">
        <v>149</v>
      </c>
      <c r="B172" s="3">
        <v>1.2</v>
      </c>
      <c r="C172" s="3">
        <f t="shared" si="2"/>
        <v>0.26303440583379378</v>
      </c>
      <c r="D172" s="3">
        <v>1438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150</v>
      </c>
      <c r="P172" s="3" t="s">
        <v>422</v>
      </c>
      <c r="Q172" s="3" t="s">
        <v>559</v>
      </c>
      <c r="R172" s="4">
        <v>4.9999999999999998E-58</v>
      </c>
      <c r="S172" s="3">
        <v>220</v>
      </c>
      <c r="T172" s="3">
        <v>38.76</v>
      </c>
      <c r="U172" t="s">
        <v>512</v>
      </c>
      <c r="V172">
        <v>0</v>
      </c>
      <c r="W172">
        <v>89.23</v>
      </c>
      <c r="X172" s="3" t="s">
        <v>448</v>
      </c>
      <c r="Y172" s="3" t="s">
        <v>455</v>
      </c>
      <c r="Z172" s="3" t="s">
        <v>456</v>
      </c>
    </row>
    <row r="173" spans="1:26" x14ac:dyDescent="0.25">
      <c r="A173" s="3" t="s">
        <v>222</v>
      </c>
      <c r="B173" s="3">
        <v>1.44</v>
      </c>
      <c r="C173" s="3">
        <f t="shared" si="2"/>
        <v>0.52606881166758768</v>
      </c>
      <c r="D173" s="3">
        <v>517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221</v>
      </c>
      <c r="P173" s="3" t="s">
        <v>422</v>
      </c>
      <c r="Q173" s="3" t="s">
        <v>559</v>
      </c>
      <c r="R173" s="4">
        <v>3.0000000000000001E-54</v>
      </c>
      <c r="S173" s="3">
        <v>197</v>
      </c>
      <c r="T173" s="3">
        <v>68.94</v>
      </c>
      <c r="U173" t="s">
        <v>507</v>
      </c>
      <c r="V173">
        <v>0</v>
      </c>
      <c r="W173">
        <v>97.87</v>
      </c>
      <c r="X173" s="3" t="s">
        <v>448</v>
      </c>
      <c r="Y173" s="3" t="s">
        <v>455</v>
      </c>
      <c r="Z173" s="3" t="s">
        <v>456</v>
      </c>
    </row>
    <row r="174" spans="1:26" x14ac:dyDescent="0.25">
      <c r="A174" s="3" t="s">
        <v>252</v>
      </c>
      <c r="B174" s="3">
        <v>4.5599999999999996</v>
      </c>
      <c r="C174" s="3">
        <f t="shared" si="2"/>
        <v>2.1890338243900169</v>
      </c>
      <c r="D174" s="3">
        <v>470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221</v>
      </c>
      <c r="P174" s="3" t="s">
        <v>422</v>
      </c>
      <c r="Q174" s="3" t="s">
        <v>559</v>
      </c>
      <c r="R174" s="4">
        <v>8.9999999999999997E-53</v>
      </c>
      <c r="S174" s="3">
        <v>192</v>
      </c>
      <c r="T174" s="3">
        <v>68.180000000000007</v>
      </c>
      <c r="U174" t="s">
        <v>493</v>
      </c>
      <c r="V174">
        <v>0</v>
      </c>
      <c r="W174">
        <v>96.38</v>
      </c>
      <c r="X174" s="3" t="s">
        <v>448</v>
      </c>
      <c r="Y174" s="3" t="s">
        <v>455</v>
      </c>
      <c r="Z174" s="3" t="s">
        <v>456</v>
      </c>
    </row>
    <row r="175" spans="1:26" x14ac:dyDescent="0.25">
      <c r="A175" s="3" t="s">
        <v>215</v>
      </c>
      <c r="B175" s="3">
        <v>2.29</v>
      </c>
      <c r="C175" s="3">
        <f t="shared" si="2"/>
        <v>1.1953475983222193</v>
      </c>
      <c r="D175" s="3">
        <v>535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150</v>
      </c>
      <c r="P175" s="3" t="s">
        <v>422</v>
      </c>
      <c r="Q175" s="3" t="s">
        <v>559</v>
      </c>
      <c r="R175" s="4">
        <v>1.9999999999999999E-44</v>
      </c>
      <c r="S175" s="3">
        <v>169</v>
      </c>
      <c r="T175" s="3">
        <v>53.14</v>
      </c>
      <c r="U175" t="s">
        <v>496</v>
      </c>
      <c r="V175" s="8">
        <v>2.9999999999999999E-161</v>
      </c>
      <c r="W175">
        <v>91.43</v>
      </c>
      <c r="X175" s="3" t="s">
        <v>448</v>
      </c>
      <c r="Y175" s="3" t="s">
        <v>455</v>
      </c>
      <c r="Z175" s="3" t="s">
        <v>456</v>
      </c>
    </row>
    <row r="176" spans="1:26" x14ac:dyDescent="0.25">
      <c r="A176" s="3" t="s">
        <v>334</v>
      </c>
      <c r="B176" s="3">
        <v>7</v>
      </c>
      <c r="C176" s="3">
        <f t="shared" si="2"/>
        <v>2.8073549220576042</v>
      </c>
      <c r="D176" s="3">
        <v>303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295</v>
      </c>
      <c r="P176" s="3" t="s">
        <v>422</v>
      </c>
      <c r="Q176" s="3" t="s">
        <v>559</v>
      </c>
      <c r="R176" s="4">
        <v>5E-42</v>
      </c>
      <c r="S176" s="3">
        <v>159</v>
      </c>
      <c r="T176" s="3">
        <v>72.28</v>
      </c>
      <c r="U176" t="s">
        <v>488</v>
      </c>
      <c r="V176" s="8">
        <v>2.0000000000000001E-115</v>
      </c>
      <c r="W176">
        <v>91.72</v>
      </c>
      <c r="X176" s="3" t="s">
        <v>448</v>
      </c>
      <c r="Y176" s="3" t="s">
        <v>455</v>
      </c>
      <c r="Z176" s="3" t="s">
        <v>456</v>
      </c>
    </row>
    <row r="177" spans="1:26" x14ac:dyDescent="0.25">
      <c r="A177" s="3" t="s">
        <v>294</v>
      </c>
      <c r="B177" s="3">
        <v>7</v>
      </c>
      <c r="C177" s="3">
        <f t="shared" si="2"/>
        <v>2.8073549220576042</v>
      </c>
      <c r="D177" s="3">
        <v>349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295</v>
      </c>
      <c r="P177" s="3" t="s">
        <v>422</v>
      </c>
      <c r="Q177" s="3" t="s">
        <v>559</v>
      </c>
      <c r="R177" s="4">
        <v>4.0000000000000002E-33</v>
      </c>
      <c r="S177" s="3">
        <v>134</v>
      </c>
      <c r="T177" s="3">
        <v>52.1</v>
      </c>
      <c r="U177" t="s">
        <v>488</v>
      </c>
      <c r="V177">
        <v>0</v>
      </c>
      <c r="W177">
        <v>99.71</v>
      </c>
      <c r="X177" s="3" t="s">
        <v>448</v>
      </c>
      <c r="Y177" s="3" t="s">
        <v>455</v>
      </c>
      <c r="Z177" s="3" t="s">
        <v>456</v>
      </c>
    </row>
    <row r="178" spans="1:26" x14ac:dyDescent="0.25">
      <c r="A178" s="3" t="s">
        <v>320</v>
      </c>
      <c r="B178" s="3">
        <v>1</v>
      </c>
      <c r="C178" s="3">
        <f t="shared" si="2"/>
        <v>0</v>
      </c>
      <c r="D178" s="3">
        <v>315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321</v>
      </c>
      <c r="P178" s="3" t="s">
        <v>422</v>
      </c>
      <c r="Q178" s="3" t="s">
        <v>559</v>
      </c>
      <c r="R178" s="4">
        <v>1E-25</v>
      </c>
      <c r="S178" s="3">
        <v>112</v>
      </c>
      <c r="T178" s="3">
        <v>52.38</v>
      </c>
      <c r="U178" t="s">
        <v>535</v>
      </c>
      <c r="V178" s="8">
        <v>5.9999999999999994E-107</v>
      </c>
      <c r="W178">
        <v>90.54</v>
      </c>
      <c r="X178" s="3" t="s">
        <v>448</v>
      </c>
      <c r="Y178" s="3" t="s">
        <v>455</v>
      </c>
      <c r="Z178" s="3" t="s">
        <v>456</v>
      </c>
    </row>
    <row r="179" spans="1:26" x14ac:dyDescent="0.25">
      <c r="A179" s="3" t="s">
        <v>197</v>
      </c>
      <c r="B179" s="3">
        <v>16</v>
      </c>
      <c r="C179" s="3">
        <f t="shared" si="2"/>
        <v>4</v>
      </c>
      <c r="D179" s="3">
        <v>613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150</v>
      </c>
      <c r="P179" s="3" t="s">
        <v>422</v>
      </c>
      <c r="Q179" s="3" t="s">
        <v>559</v>
      </c>
      <c r="R179" s="4">
        <v>4.9999999999999999E-17</v>
      </c>
      <c r="S179" s="3">
        <v>91.3</v>
      </c>
      <c r="T179" s="3">
        <v>61.29</v>
      </c>
      <c r="U179" t="s">
        <v>494</v>
      </c>
      <c r="V179" s="8">
        <v>1.9999999999999998E-163</v>
      </c>
      <c r="W179">
        <v>92.77</v>
      </c>
      <c r="X179" s="3" t="s">
        <v>448</v>
      </c>
      <c r="Y179" s="3" t="s">
        <v>455</v>
      </c>
      <c r="Z179" s="3" t="s">
        <v>456</v>
      </c>
    </row>
    <row r="180" spans="1:26" x14ac:dyDescent="0.25">
      <c r="A180" s="3" t="s">
        <v>220</v>
      </c>
      <c r="B180" s="3">
        <v>1</v>
      </c>
      <c r="C180" s="3">
        <f t="shared" si="2"/>
        <v>0</v>
      </c>
      <c r="D180" s="3">
        <v>522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221</v>
      </c>
      <c r="P180" s="3" t="s">
        <v>422</v>
      </c>
      <c r="Q180" s="3" t="s">
        <v>559</v>
      </c>
      <c r="R180" s="4">
        <v>2.0000000000000002E-15</v>
      </c>
      <c r="S180" s="3">
        <v>85.5</v>
      </c>
      <c r="T180" s="3">
        <v>57.38</v>
      </c>
      <c r="U180" t="s">
        <v>504</v>
      </c>
      <c r="V180" s="8">
        <v>6.0000000000000002E-59</v>
      </c>
      <c r="W180">
        <v>80.599999999999994</v>
      </c>
      <c r="X180" s="3" t="s">
        <v>448</v>
      </c>
      <c r="Y180" s="3" t="s">
        <v>455</v>
      </c>
      <c r="Z180" s="3" t="s">
        <v>456</v>
      </c>
    </row>
    <row r="181" spans="1:26" x14ac:dyDescent="0.25">
      <c r="A181" s="3" t="s">
        <v>309</v>
      </c>
      <c r="B181" s="3">
        <v>4</v>
      </c>
      <c r="C181" s="3">
        <f t="shared" si="2"/>
        <v>2</v>
      </c>
      <c r="D181" s="3">
        <v>334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310</v>
      </c>
      <c r="P181" s="3" t="s">
        <v>408</v>
      </c>
      <c r="Q181" s="3" t="s">
        <v>559</v>
      </c>
      <c r="R181" s="4">
        <v>1.9999999999999999E-6</v>
      </c>
      <c r="S181" s="3">
        <v>39.299999999999997</v>
      </c>
      <c r="T181" s="3">
        <v>45.71</v>
      </c>
      <c r="U181" t="s">
        <v>496</v>
      </c>
      <c r="V181" s="8">
        <v>1.9999999999999999E-82</v>
      </c>
      <c r="W181">
        <v>91.59</v>
      </c>
      <c r="X181" s="3" t="s">
        <v>448</v>
      </c>
      <c r="Y181" s="3" t="s">
        <v>455</v>
      </c>
      <c r="Z181" s="3" t="s">
        <v>456</v>
      </c>
    </row>
    <row r="182" spans="1:26" x14ac:dyDescent="0.25">
      <c r="A182" s="3" t="s">
        <v>74</v>
      </c>
      <c r="B182" s="3">
        <v>3</v>
      </c>
      <c r="C182" s="3">
        <f t="shared" si="2"/>
        <v>1.5849625007211563</v>
      </c>
      <c r="D182" s="3">
        <v>296</v>
      </c>
      <c r="E182" s="3" t="s">
        <v>69</v>
      </c>
      <c r="F182" s="3" t="s">
        <v>70</v>
      </c>
      <c r="G182" s="4">
        <v>3.9999999999999998E-44</v>
      </c>
      <c r="H182" s="3">
        <v>180</v>
      </c>
      <c r="I182" s="3">
        <v>79.53</v>
      </c>
      <c r="J182" s="3" t="s">
        <v>75</v>
      </c>
      <c r="K182" s="3" t="s">
        <v>76</v>
      </c>
      <c r="L182" s="4">
        <v>2.9999999999999999E-38</v>
      </c>
      <c r="M182" s="3">
        <v>169</v>
      </c>
      <c r="N182" s="3">
        <v>78.66</v>
      </c>
      <c r="O182" s="3" t="s">
        <v>77</v>
      </c>
      <c r="P182" s="3" t="s">
        <v>402</v>
      </c>
      <c r="Q182" s="3" t="s">
        <v>560</v>
      </c>
      <c r="R182" s="4">
        <v>2.0000000000000001E-42</v>
      </c>
      <c r="S182" s="3">
        <v>149</v>
      </c>
      <c r="T182" s="3">
        <v>72.22</v>
      </c>
      <c r="U182" t="s">
        <v>506</v>
      </c>
      <c r="V182" s="8">
        <v>9E-120</v>
      </c>
      <c r="W182">
        <v>95.59</v>
      </c>
      <c r="X182" s="3" t="s">
        <v>448</v>
      </c>
      <c r="Y182" s="3" t="s">
        <v>452</v>
      </c>
      <c r="Z182" s="3" t="s">
        <v>452</v>
      </c>
    </row>
    <row r="183" spans="1:26" x14ac:dyDescent="0.25">
      <c r="A183" s="3" t="s">
        <v>362</v>
      </c>
      <c r="B183" s="3">
        <v>2</v>
      </c>
      <c r="C183" s="3">
        <f t="shared" si="2"/>
        <v>1</v>
      </c>
      <c r="D183" s="3">
        <v>274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363</v>
      </c>
      <c r="P183" s="3" t="s">
        <v>402</v>
      </c>
      <c r="Q183" s="3" t="s">
        <v>560</v>
      </c>
      <c r="R183" s="4">
        <v>8.9999999999999995E-14</v>
      </c>
      <c r="S183" s="3">
        <v>73.900000000000006</v>
      </c>
      <c r="T183" s="3">
        <v>64.58</v>
      </c>
      <c r="U183" t="s">
        <v>488</v>
      </c>
      <c r="V183" s="8">
        <v>1.9999999999999999E-40</v>
      </c>
      <c r="W183">
        <v>90.08</v>
      </c>
      <c r="X183" s="3" t="s">
        <v>448</v>
      </c>
      <c r="Y183" s="3" t="s">
        <v>452</v>
      </c>
      <c r="Z183" s="3" t="s">
        <v>452</v>
      </c>
    </row>
    <row r="184" spans="1:26" x14ac:dyDescent="0.25">
      <c r="A184" s="3" t="s">
        <v>372</v>
      </c>
      <c r="B184" s="3">
        <v>3</v>
      </c>
      <c r="C184" s="3">
        <f t="shared" si="2"/>
        <v>1.5849625007211563</v>
      </c>
      <c r="D184" s="3">
        <v>258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373</v>
      </c>
      <c r="P184" s="3" t="s">
        <v>403</v>
      </c>
      <c r="Q184" s="3" t="s">
        <v>561</v>
      </c>
      <c r="R184" s="4">
        <v>4.9999999999999999E-13</v>
      </c>
      <c r="S184" s="3">
        <v>75.099999999999994</v>
      </c>
      <c r="T184" s="3">
        <v>72.73</v>
      </c>
      <c r="U184" t="s">
        <v>510</v>
      </c>
      <c r="V184" s="8">
        <v>9.9999999999999996E-39</v>
      </c>
      <c r="W184">
        <v>95.24</v>
      </c>
      <c r="X184" s="3" t="s">
        <v>448</v>
      </c>
      <c r="Y184" s="3" t="s">
        <v>452</v>
      </c>
      <c r="Z184" s="3" t="s">
        <v>452</v>
      </c>
    </row>
    <row r="185" spans="1:26" x14ac:dyDescent="0.25">
      <c r="A185" s="3" t="s">
        <v>59</v>
      </c>
      <c r="B185" s="3">
        <v>2</v>
      </c>
      <c r="C185" s="3">
        <f t="shared" si="2"/>
        <v>1</v>
      </c>
      <c r="D185" s="3">
        <v>358</v>
      </c>
      <c r="E185" s="3" t="s">
        <v>60</v>
      </c>
      <c r="F185" s="3" t="s">
        <v>61</v>
      </c>
      <c r="G185" s="4">
        <v>2E-8</v>
      </c>
      <c r="H185" s="3">
        <v>62.1</v>
      </c>
      <c r="I185" s="3">
        <v>88.46</v>
      </c>
      <c r="J185" s="3" t="s">
        <v>62</v>
      </c>
      <c r="K185" s="3" t="s">
        <v>61</v>
      </c>
      <c r="L185" s="4">
        <v>6.0000000000000002E-6</v>
      </c>
      <c r="M185" s="3">
        <v>62.1</v>
      </c>
      <c r="N185" s="3">
        <v>88.46</v>
      </c>
      <c r="O185" s="3" t="s">
        <v>63</v>
      </c>
      <c r="P185" s="3" t="s">
        <v>398</v>
      </c>
      <c r="Q185" s="3" t="s">
        <v>562</v>
      </c>
      <c r="R185" s="4">
        <v>1E-56</v>
      </c>
      <c r="S185" s="3">
        <v>191</v>
      </c>
      <c r="T185" s="3">
        <v>71.19</v>
      </c>
      <c r="U185" t="s">
        <v>498</v>
      </c>
      <c r="V185" s="8">
        <v>4.0000000000000002E-114</v>
      </c>
      <c r="W185">
        <v>95.4</v>
      </c>
      <c r="X185" s="3" t="s">
        <v>448</v>
      </c>
      <c r="Y185" s="3" t="s">
        <v>452</v>
      </c>
      <c r="Z185" s="3" t="s">
        <v>452</v>
      </c>
    </row>
    <row r="186" spans="1:26" x14ac:dyDescent="0.25">
      <c r="A186" s="3" t="s">
        <v>326</v>
      </c>
      <c r="B186" s="3">
        <v>4</v>
      </c>
      <c r="C186" s="3">
        <f t="shared" si="2"/>
        <v>2</v>
      </c>
      <c r="D186" s="3">
        <v>308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63</v>
      </c>
      <c r="P186" s="3" t="s">
        <v>398</v>
      </c>
      <c r="Q186" s="3" t="s">
        <v>562</v>
      </c>
      <c r="R186" s="4">
        <v>9.9999999999999993E-40</v>
      </c>
      <c r="S186" s="3">
        <v>146</v>
      </c>
      <c r="T186" s="3">
        <v>66.33</v>
      </c>
      <c r="U186" t="s">
        <v>530</v>
      </c>
      <c r="V186" s="8">
        <v>9.0000000000000005E-115</v>
      </c>
      <c r="W186">
        <v>91.21</v>
      </c>
      <c r="X186" s="3" t="s">
        <v>448</v>
      </c>
      <c r="Y186" s="3" t="s">
        <v>452</v>
      </c>
      <c r="Z186" s="3" t="s">
        <v>452</v>
      </c>
    </row>
    <row r="187" spans="1:26" x14ac:dyDescent="0.25">
      <c r="A187" s="3" t="s">
        <v>136</v>
      </c>
      <c r="B187" s="3">
        <v>2</v>
      </c>
      <c r="C187" s="3">
        <f t="shared" si="2"/>
        <v>1</v>
      </c>
      <c r="D187" s="3">
        <v>251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75</v>
      </c>
      <c r="K187" s="3" t="s">
        <v>76</v>
      </c>
      <c r="L187" s="4">
        <v>1E-10</v>
      </c>
      <c r="M187" s="3">
        <v>76.8</v>
      </c>
      <c r="N187" s="3">
        <v>77.61</v>
      </c>
      <c r="O187" s="3" t="s">
        <v>63</v>
      </c>
      <c r="P187" s="3" t="s">
        <v>398</v>
      </c>
      <c r="Q187" s="3" t="s">
        <v>562</v>
      </c>
      <c r="R187" s="4">
        <v>9.0000000000000002E-35</v>
      </c>
      <c r="S187" s="3">
        <v>132</v>
      </c>
      <c r="T187" s="3">
        <v>68.67</v>
      </c>
      <c r="U187" t="s">
        <v>501</v>
      </c>
      <c r="V187" s="8">
        <v>4.0000000000000001E-117</v>
      </c>
      <c r="W187">
        <v>97.21</v>
      </c>
      <c r="X187" s="3" t="s">
        <v>448</v>
      </c>
      <c r="Y187" s="3" t="s">
        <v>452</v>
      </c>
      <c r="Z187" s="3" t="s">
        <v>452</v>
      </c>
    </row>
    <row r="188" spans="1:26" x14ac:dyDescent="0.25">
      <c r="A188" s="3" t="s">
        <v>106</v>
      </c>
      <c r="B188" s="3">
        <v>2</v>
      </c>
      <c r="C188" s="3">
        <f t="shared" si="2"/>
        <v>1</v>
      </c>
      <c r="D188" s="3">
        <v>254</v>
      </c>
      <c r="E188" s="3" t="s">
        <v>107</v>
      </c>
      <c r="F188" s="3" t="s">
        <v>108</v>
      </c>
      <c r="G188" s="4">
        <v>1.9999999999999999E-7</v>
      </c>
      <c r="H188" s="3">
        <v>58.4</v>
      </c>
      <c r="I188" s="3">
        <v>100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109</v>
      </c>
      <c r="P188" s="3" t="s">
        <v>398</v>
      </c>
      <c r="Q188" s="3" t="s">
        <v>562</v>
      </c>
      <c r="R188" s="4">
        <v>5.0000000000000003E-34</v>
      </c>
      <c r="S188" s="3">
        <v>130</v>
      </c>
      <c r="T188" s="3">
        <v>66.67</v>
      </c>
      <c r="U188" t="s">
        <v>500</v>
      </c>
      <c r="V188" s="8">
        <v>3.0000000000000001E-94</v>
      </c>
      <c r="W188">
        <v>91.67</v>
      </c>
      <c r="X188" s="3" t="s">
        <v>448</v>
      </c>
      <c r="Y188" s="3" t="s">
        <v>452</v>
      </c>
      <c r="Z188" s="3" t="s">
        <v>452</v>
      </c>
    </row>
    <row r="189" spans="1:26" x14ac:dyDescent="0.25">
      <c r="A189" s="3" t="s">
        <v>267</v>
      </c>
      <c r="B189" s="3">
        <v>2.57</v>
      </c>
      <c r="C189" s="3">
        <f t="shared" si="2"/>
        <v>1.3617683594191534</v>
      </c>
      <c r="D189" s="3">
        <v>409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268</v>
      </c>
      <c r="P189" s="3" t="s">
        <v>398</v>
      </c>
      <c r="Q189" s="3" t="s">
        <v>562</v>
      </c>
      <c r="R189" s="4">
        <v>2.0000000000000001E-33</v>
      </c>
      <c r="S189" s="3">
        <v>131</v>
      </c>
      <c r="T189" s="3">
        <v>52.14</v>
      </c>
      <c r="U189" t="s">
        <v>491</v>
      </c>
      <c r="V189">
        <v>0</v>
      </c>
      <c r="W189">
        <v>96.33</v>
      </c>
      <c r="X189" s="3" t="s">
        <v>448</v>
      </c>
      <c r="Y189" s="3" t="s">
        <v>452</v>
      </c>
      <c r="Z189" s="3" t="s">
        <v>452</v>
      </c>
    </row>
    <row r="190" spans="1:26" x14ac:dyDescent="0.25">
      <c r="A190" s="3" t="s">
        <v>191</v>
      </c>
      <c r="B190" s="3">
        <v>23.43</v>
      </c>
      <c r="C190" s="3">
        <f t="shared" si="2"/>
        <v>4.5502850490884112</v>
      </c>
      <c r="D190" s="3">
        <v>631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63</v>
      </c>
      <c r="P190" s="3" t="s">
        <v>398</v>
      </c>
      <c r="Q190" s="3" t="s">
        <v>562</v>
      </c>
      <c r="R190" s="4">
        <v>6.9999999999999995E-29</v>
      </c>
      <c r="S190" s="3">
        <v>121</v>
      </c>
      <c r="T190" s="3">
        <v>71.23</v>
      </c>
      <c r="U190" t="s">
        <v>491</v>
      </c>
      <c r="V190">
        <v>0</v>
      </c>
      <c r="W190">
        <v>97.46</v>
      </c>
      <c r="X190" s="3" t="s">
        <v>448</v>
      </c>
      <c r="Y190" s="3" t="s">
        <v>452</v>
      </c>
      <c r="Z190" s="3" t="s">
        <v>452</v>
      </c>
    </row>
    <row r="191" spans="1:26" x14ac:dyDescent="0.25">
      <c r="A191" s="3" t="s">
        <v>383</v>
      </c>
      <c r="B191" s="3">
        <v>1</v>
      </c>
      <c r="C191" s="3">
        <f t="shared" si="2"/>
        <v>0</v>
      </c>
      <c r="D191" s="3">
        <v>245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384</v>
      </c>
      <c r="P191" s="3" t="s">
        <v>398</v>
      </c>
      <c r="Q191" s="3" t="s">
        <v>562</v>
      </c>
      <c r="R191" s="4">
        <v>2.0000000000000001E-25</v>
      </c>
      <c r="S191" s="3">
        <v>107</v>
      </c>
      <c r="T191" s="3">
        <v>70.31</v>
      </c>
      <c r="U191" t="s">
        <v>498</v>
      </c>
      <c r="V191" s="8">
        <v>2.0000000000000002E-86</v>
      </c>
      <c r="W191">
        <v>97.86</v>
      </c>
      <c r="X191" s="3" t="s">
        <v>448</v>
      </c>
      <c r="Y191" s="3" t="s">
        <v>452</v>
      </c>
      <c r="Z191" s="3" t="s">
        <v>452</v>
      </c>
    </row>
    <row r="192" spans="1:26" x14ac:dyDescent="0.25">
      <c r="A192" s="3" t="s">
        <v>189</v>
      </c>
      <c r="B192" s="3">
        <v>12</v>
      </c>
      <c r="C192" s="3">
        <f t="shared" si="2"/>
        <v>3.5849625007211565</v>
      </c>
      <c r="D192" s="3">
        <v>673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167</v>
      </c>
      <c r="P192" s="3" t="s">
        <v>398</v>
      </c>
      <c r="Q192" s="3" t="s">
        <v>562</v>
      </c>
      <c r="R192" s="4">
        <v>6.9999999999999993E-24</v>
      </c>
      <c r="S192" s="3">
        <v>108</v>
      </c>
      <c r="T192" s="3">
        <v>64.38</v>
      </c>
      <c r="U192" t="s">
        <v>494</v>
      </c>
      <c r="V192">
        <v>0</v>
      </c>
      <c r="W192">
        <v>99.11</v>
      </c>
      <c r="X192" s="3" t="s">
        <v>448</v>
      </c>
      <c r="Y192" s="3" t="s">
        <v>452</v>
      </c>
      <c r="Z192" s="3" t="s">
        <v>452</v>
      </c>
    </row>
    <row r="193" spans="1:26" x14ac:dyDescent="0.25">
      <c r="A193" s="3" t="s">
        <v>360</v>
      </c>
      <c r="B193" s="3">
        <v>5</v>
      </c>
      <c r="C193" s="3">
        <f t="shared" si="2"/>
        <v>2.3219280948873622</v>
      </c>
      <c r="D193" s="3">
        <v>274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110</v>
      </c>
      <c r="K193" s="3" t="s">
        <v>111</v>
      </c>
      <c r="L193" s="4">
        <v>3E-23</v>
      </c>
      <c r="M193" s="3">
        <v>119</v>
      </c>
      <c r="N193" s="3">
        <v>100</v>
      </c>
      <c r="O193" s="3" t="s">
        <v>361</v>
      </c>
      <c r="P193" s="3" t="s">
        <v>430</v>
      </c>
      <c r="Q193" s="3" t="s">
        <v>562</v>
      </c>
      <c r="R193" s="4">
        <v>3.0000000000000003E-20</v>
      </c>
      <c r="S193" s="3">
        <v>96.3</v>
      </c>
      <c r="T193" s="3">
        <v>69.349999999999994</v>
      </c>
      <c r="U193" t="s">
        <v>488</v>
      </c>
      <c r="V193" s="8">
        <v>1E-87</v>
      </c>
      <c r="W193">
        <v>98.39</v>
      </c>
      <c r="X193" s="3" t="s">
        <v>448</v>
      </c>
      <c r="Y193" s="3" t="s">
        <v>452</v>
      </c>
      <c r="Z193" s="3" t="s">
        <v>452</v>
      </c>
    </row>
    <row r="194" spans="1:26" x14ac:dyDescent="0.25">
      <c r="A194" s="3" t="s">
        <v>271</v>
      </c>
      <c r="B194" s="3">
        <v>2</v>
      </c>
      <c r="C194" s="3">
        <f t="shared" si="2"/>
        <v>1</v>
      </c>
      <c r="D194" s="3">
        <v>390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165</v>
      </c>
      <c r="P194" s="3" t="s">
        <v>398</v>
      </c>
      <c r="Q194" s="3" t="s">
        <v>562</v>
      </c>
      <c r="R194" s="4">
        <v>2E-19</v>
      </c>
      <c r="S194" s="3">
        <v>92</v>
      </c>
      <c r="T194" s="3">
        <v>63.49</v>
      </c>
      <c r="U194" t="s">
        <v>482</v>
      </c>
      <c r="V194" s="8">
        <v>9.0000000000000001E-141</v>
      </c>
      <c r="W194">
        <v>90</v>
      </c>
      <c r="X194" s="3" t="s">
        <v>448</v>
      </c>
      <c r="Y194" s="3" t="s">
        <v>452</v>
      </c>
      <c r="Z194" s="3" t="s">
        <v>452</v>
      </c>
    </row>
    <row r="195" spans="1:26" x14ac:dyDescent="0.25">
      <c r="A195" s="3" t="s">
        <v>371</v>
      </c>
      <c r="B195" s="3">
        <v>2</v>
      </c>
      <c r="C195" s="3">
        <f t="shared" ref="C195:C208" si="3">LOG(B195,2)</f>
        <v>1</v>
      </c>
      <c r="D195" s="3">
        <v>265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63</v>
      </c>
      <c r="P195" s="3" t="s">
        <v>398</v>
      </c>
      <c r="Q195" s="3" t="s">
        <v>562</v>
      </c>
      <c r="R195" s="4">
        <v>5.0000000000000004E-16</v>
      </c>
      <c r="S195" s="3">
        <v>81.3</v>
      </c>
      <c r="T195" s="3">
        <v>51.25</v>
      </c>
      <c r="U195" t="s">
        <v>518</v>
      </c>
      <c r="V195" s="8">
        <v>8.0000000000000004E-115</v>
      </c>
      <c r="W195">
        <v>95.09</v>
      </c>
      <c r="X195" s="3" t="s">
        <v>448</v>
      </c>
      <c r="Y195" s="3" t="s">
        <v>452</v>
      </c>
      <c r="Z195" s="3" t="s">
        <v>452</v>
      </c>
    </row>
    <row r="196" spans="1:26" x14ac:dyDescent="0.25">
      <c r="A196" s="3" t="s">
        <v>277</v>
      </c>
      <c r="B196" s="3">
        <v>1</v>
      </c>
      <c r="C196" s="3">
        <f t="shared" si="3"/>
        <v>0</v>
      </c>
      <c r="D196" s="3">
        <v>379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63</v>
      </c>
      <c r="P196" s="3" t="s">
        <v>398</v>
      </c>
      <c r="Q196" s="3" t="s">
        <v>562</v>
      </c>
      <c r="R196" s="4">
        <v>4E-14</v>
      </c>
      <c r="S196" s="3">
        <v>77.400000000000006</v>
      </c>
      <c r="T196" s="3">
        <v>63.27</v>
      </c>
      <c r="U196" t="s">
        <v>483</v>
      </c>
      <c r="V196" s="8">
        <v>3.0000000000000001E-70</v>
      </c>
      <c r="W196">
        <v>96.91</v>
      </c>
      <c r="X196" s="3" t="s">
        <v>448</v>
      </c>
      <c r="Y196" s="3" t="s">
        <v>452</v>
      </c>
      <c r="Z196" s="3" t="s">
        <v>452</v>
      </c>
    </row>
    <row r="197" spans="1:26" x14ac:dyDescent="0.25">
      <c r="A197" s="3" t="s">
        <v>166</v>
      </c>
      <c r="B197" s="3">
        <v>1.5</v>
      </c>
      <c r="C197" s="3">
        <f t="shared" si="3"/>
        <v>0.58496250072115619</v>
      </c>
      <c r="D197" s="3">
        <v>835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167</v>
      </c>
      <c r="P197" s="3" t="s">
        <v>398</v>
      </c>
      <c r="Q197" s="3" t="s">
        <v>562</v>
      </c>
      <c r="R197" s="4">
        <v>5.9999999999999997E-14</v>
      </c>
      <c r="S197" s="3">
        <v>80.900000000000006</v>
      </c>
      <c r="T197" s="3">
        <v>63.16</v>
      </c>
      <c r="U197" t="s">
        <v>498</v>
      </c>
      <c r="V197">
        <v>0</v>
      </c>
      <c r="W197">
        <v>87.07</v>
      </c>
      <c r="X197" s="3" t="s">
        <v>448</v>
      </c>
      <c r="Y197" s="3" t="s">
        <v>452</v>
      </c>
      <c r="Z197" s="3" t="s">
        <v>452</v>
      </c>
    </row>
    <row r="198" spans="1:26" x14ac:dyDescent="0.25">
      <c r="A198" s="3" t="s">
        <v>164</v>
      </c>
      <c r="B198" s="3">
        <v>4.5</v>
      </c>
      <c r="C198" s="3">
        <f t="shared" si="3"/>
        <v>2.1699250014423126</v>
      </c>
      <c r="D198" s="3">
        <v>835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165</v>
      </c>
      <c r="P198" s="3" t="s">
        <v>398</v>
      </c>
      <c r="Q198" s="3" t="s">
        <v>562</v>
      </c>
      <c r="R198" s="4">
        <v>1E-13</v>
      </c>
      <c r="S198" s="3">
        <v>80.099999999999994</v>
      </c>
      <c r="T198" s="3">
        <v>63.16</v>
      </c>
      <c r="U198" t="s">
        <v>498</v>
      </c>
      <c r="V198">
        <v>0</v>
      </c>
      <c r="W198">
        <v>87.35</v>
      </c>
      <c r="X198" s="3" t="s">
        <v>448</v>
      </c>
      <c r="Y198" s="3" t="s">
        <v>452</v>
      </c>
      <c r="Z198" s="3" t="s">
        <v>452</v>
      </c>
    </row>
    <row r="199" spans="1:26" x14ac:dyDescent="0.25">
      <c r="A199" s="3" t="s">
        <v>345</v>
      </c>
      <c r="B199" s="3">
        <v>3</v>
      </c>
      <c r="C199" s="3">
        <f t="shared" si="3"/>
        <v>1.5849625007211563</v>
      </c>
      <c r="D199" s="3">
        <v>289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346</v>
      </c>
      <c r="P199" s="3" t="s">
        <v>403</v>
      </c>
      <c r="Q199" s="3" t="s">
        <v>563</v>
      </c>
      <c r="R199" s="4">
        <v>5.9999999999999999E-24</v>
      </c>
      <c r="S199" s="3">
        <v>107</v>
      </c>
      <c r="T199" s="3">
        <v>79.69</v>
      </c>
      <c r="U199" t="s">
        <v>483</v>
      </c>
      <c r="V199" s="8">
        <v>6.0000000000000003E-47</v>
      </c>
      <c r="W199">
        <v>87.13</v>
      </c>
      <c r="X199" s="3" t="s">
        <v>448</v>
      </c>
      <c r="Y199" s="3" t="s">
        <v>455</v>
      </c>
      <c r="Z199" s="3" t="s">
        <v>456</v>
      </c>
    </row>
    <row r="200" spans="1:26" x14ac:dyDescent="0.25">
      <c r="A200" s="3" t="s">
        <v>180</v>
      </c>
      <c r="B200" s="3">
        <v>4.82</v>
      </c>
      <c r="C200" s="3">
        <f t="shared" si="3"/>
        <v>2.2690331464552371</v>
      </c>
      <c r="D200" s="3">
        <v>774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181</v>
      </c>
      <c r="P200" s="3" t="s">
        <v>410</v>
      </c>
      <c r="Q200" s="3" t="s">
        <v>563</v>
      </c>
      <c r="R200" s="4">
        <v>5.9999999999999997E-14</v>
      </c>
      <c r="S200" s="3">
        <v>77</v>
      </c>
      <c r="T200" s="3">
        <v>40</v>
      </c>
      <c r="U200" t="s">
        <v>497</v>
      </c>
      <c r="V200">
        <v>0</v>
      </c>
      <c r="W200">
        <v>86.61</v>
      </c>
      <c r="X200" s="3" t="s">
        <v>448</v>
      </c>
      <c r="Y200" s="3" t="s">
        <v>455</v>
      </c>
      <c r="Z200" s="3" t="s">
        <v>456</v>
      </c>
    </row>
    <row r="201" spans="1:26" x14ac:dyDescent="0.25">
      <c r="A201" s="3" t="s">
        <v>298</v>
      </c>
      <c r="B201" s="3">
        <v>1</v>
      </c>
      <c r="C201" s="3">
        <f t="shared" si="3"/>
        <v>0</v>
      </c>
      <c r="D201" s="3">
        <v>348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299</v>
      </c>
      <c r="P201" s="3" t="s">
        <v>410</v>
      </c>
      <c r="Q201" s="3" t="s">
        <v>563</v>
      </c>
      <c r="R201" s="4">
        <v>2E-12</v>
      </c>
      <c r="S201" s="3">
        <v>70.5</v>
      </c>
      <c r="T201" s="3">
        <v>40.86</v>
      </c>
      <c r="U201" t="s">
        <v>498</v>
      </c>
      <c r="V201" s="8">
        <v>3.0000000000000001E-135</v>
      </c>
      <c r="W201">
        <v>92.6</v>
      </c>
      <c r="X201" s="3" t="s">
        <v>448</v>
      </c>
      <c r="Y201" s="3" t="s">
        <v>455</v>
      </c>
      <c r="Z201" s="3" t="s">
        <v>456</v>
      </c>
    </row>
    <row r="202" spans="1:26" x14ac:dyDescent="0.25">
      <c r="A202" s="3" t="s">
        <v>296</v>
      </c>
      <c r="B202" s="3">
        <v>2</v>
      </c>
      <c r="C202" s="3">
        <f t="shared" si="3"/>
        <v>1</v>
      </c>
      <c r="D202" s="3">
        <v>349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297</v>
      </c>
      <c r="P202" s="3" t="s">
        <v>410</v>
      </c>
      <c r="Q202" s="3" t="s">
        <v>563</v>
      </c>
      <c r="R202" s="4">
        <v>7.0000000000000004E-11</v>
      </c>
      <c r="S202" s="3">
        <v>66.2</v>
      </c>
      <c r="T202" s="3">
        <v>51.43</v>
      </c>
      <c r="U202" t="s">
        <v>519</v>
      </c>
      <c r="V202" s="8">
        <v>4.9999999999999997E-103</v>
      </c>
      <c r="W202">
        <v>88.12</v>
      </c>
      <c r="X202" s="3" t="s">
        <v>448</v>
      </c>
      <c r="Y202" s="3" t="s">
        <v>455</v>
      </c>
      <c r="Z202" s="3" t="s">
        <v>456</v>
      </c>
    </row>
    <row r="203" spans="1:26" x14ac:dyDescent="0.25">
      <c r="A203" s="3" t="s">
        <v>304</v>
      </c>
      <c r="B203" s="3">
        <v>8</v>
      </c>
      <c r="C203" s="3">
        <f t="shared" si="3"/>
        <v>3</v>
      </c>
      <c r="D203" s="3">
        <v>340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299</v>
      </c>
      <c r="P203" s="3" t="s">
        <v>410</v>
      </c>
      <c r="Q203" s="3" t="s">
        <v>563</v>
      </c>
      <c r="R203" s="4">
        <v>1.0000000000000001E-9</v>
      </c>
      <c r="S203" s="3">
        <v>62.8</v>
      </c>
      <c r="T203" s="3">
        <v>39.76</v>
      </c>
      <c r="U203" t="s">
        <v>494</v>
      </c>
      <c r="V203" s="8">
        <v>2.9999999999999999E-144</v>
      </c>
      <c r="W203">
        <v>99.65</v>
      </c>
      <c r="X203" s="3" t="s">
        <v>448</v>
      </c>
      <c r="Y203" s="3" t="s">
        <v>455</v>
      </c>
      <c r="Z203" s="3" t="s">
        <v>456</v>
      </c>
    </row>
    <row r="204" spans="1:26" x14ac:dyDescent="0.25">
      <c r="A204" s="3" t="s">
        <v>248</v>
      </c>
      <c r="B204" s="3">
        <v>15.1</v>
      </c>
      <c r="C204" s="3">
        <f t="shared" si="3"/>
        <v>3.9164766444377168</v>
      </c>
      <c r="D204" s="3">
        <v>474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181</v>
      </c>
      <c r="P204" s="3" t="s">
        <v>410</v>
      </c>
      <c r="Q204" s="3" t="s">
        <v>563</v>
      </c>
      <c r="R204" s="4">
        <v>1.9999999999999999E-6</v>
      </c>
      <c r="S204" s="3">
        <v>54.7</v>
      </c>
      <c r="T204" s="3">
        <v>44.26</v>
      </c>
      <c r="U204" t="s">
        <v>493</v>
      </c>
      <c r="V204">
        <v>0</v>
      </c>
      <c r="W204">
        <v>96.24</v>
      </c>
      <c r="X204" s="3" t="s">
        <v>448</v>
      </c>
      <c r="Y204" s="3" t="s">
        <v>455</v>
      </c>
      <c r="Z204" s="3" t="s">
        <v>456</v>
      </c>
    </row>
    <row r="205" spans="1:26" x14ac:dyDescent="0.25">
      <c r="A205" s="3" t="s">
        <v>283</v>
      </c>
      <c r="B205" s="3">
        <v>1</v>
      </c>
      <c r="C205" s="3">
        <f t="shared" si="3"/>
        <v>0</v>
      </c>
      <c r="D205" s="3">
        <v>369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181</v>
      </c>
      <c r="P205" s="3" t="s">
        <v>410</v>
      </c>
      <c r="Q205" s="3" t="s">
        <v>563</v>
      </c>
      <c r="R205" s="4">
        <v>3.0000000000000001E-6</v>
      </c>
      <c r="S205" s="3">
        <v>53.1</v>
      </c>
      <c r="T205" s="3">
        <v>35.71</v>
      </c>
      <c r="U205" t="s">
        <v>488</v>
      </c>
      <c r="V205" s="8">
        <v>7.9999999999999996E-126</v>
      </c>
      <c r="W205">
        <v>93.46</v>
      </c>
      <c r="X205" s="3" t="s">
        <v>448</v>
      </c>
      <c r="Y205" s="3" t="s">
        <v>455</v>
      </c>
      <c r="Z205" s="3" t="s">
        <v>456</v>
      </c>
    </row>
    <row r="206" spans="1:26" x14ac:dyDescent="0.25">
      <c r="A206" s="3" t="s">
        <v>323</v>
      </c>
      <c r="B206" s="3">
        <v>1</v>
      </c>
      <c r="C206" s="3">
        <f t="shared" si="3"/>
        <v>0</v>
      </c>
      <c r="D206" s="3">
        <v>311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324</v>
      </c>
      <c r="P206" s="3" t="s">
        <v>425</v>
      </c>
      <c r="Q206" s="3" t="s">
        <v>564</v>
      </c>
      <c r="R206" s="4">
        <v>6E-9</v>
      </c>
      <c r="S206" s="3">
        <v>60.5</v>
      </c>
      <c r="T206" s="3">
        <v>51.02</v>
      </c>
      <c r="U206" t="s">
        <v>526</v>
      </c>
      <c r="V206" s="8">
        <v>4.9999999999999999E-132</v>
      </c>
      <c r="W206">
        <v>94.21</v>
      </c>
      <c r="X206" s="3" t="s">
        <v>448</v>
      </c>
      <c r="Y206" s="3" t="s">
        <v>455</v>
      </c>
      <c r="Z206" s="3" t="s">
        <v>456</v>
      </c>
    </row>
    <row r="207" spans="1:26" x14ac:dyDescent="0.25">
      <c r="A207" s="3" t="s">
        <v>157</v>
      </c>
      <c r="B207" s="3">
        <v>16.16</v>
      </c>
      <c r="C207" s="3">
        <f t="shared" si="3"/>
        <v>4.0143552929770703</v>
      </c>
      <c r="D207" s="3">
        <v>1048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153</v>
      </c>
      <c r="P207" s="3" t="s">
        <v>423</v>
      </c>
      <c r="Q207" s="3" t="s">
        <v>565</v>
      </c>
      <c r="R207" s="4">
        <v>3.9999999999999999E-12</v>
      </c>
      <c r="S207" s="3">
        <v>76.599999999999994</v>
      </c>
      <c r="T207" s="3">
        <v>34.29</v>
      </c>
      <c r="U207" t="s">
        <v>521</v>
      </c>
      <c r="V207">
        <v>0</v>
      </c>
      <c r="W207">
        <v>93.56</v>
      </c>
      <c r="X207" s="3" t="s">
        <v>448</v>
      </c>
      <c r="Y207" s="3" t="s">
        <v>452</v>
      </c>
      <c r="Z207" s="3" t="s">
        <v>452</v>
      </c>
    </row>
    <row r="208" spans="1:26" x14ac:dyDescent="0.25">
      <c r="A208" s="3" t="s">
        <v>152</v>
      </c>
      <c r="B208" s="3">
        <v>58.18</v>
      </c>
      <c r="C208" s="3">
        <f t="shared" si="3"/>
        <v>5.8624513913255818</v>
      </c>
      <c r="D208" s="3">
        <v>1137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153</v>
      </c>
      <c r="P208" s="3" t="s">
        <v>423</v>
      </c>
      <c r="Q208" s="3" t="s">
        <v>565</v>
      </c>
      <c r="R208" s="4">
        <v>4.9999999999999997E-12</v>
      </c>
      <c r="S208" s="3">
        <v>76.599999999999994</v>
      </c>
      <c r="T208" s="3">
        <v>34.29</v>
      </c>
      <c r="U208" t="s">
        <v>522</v>
      </c>
      <c r="V208">
        <v>0</v>
      </c>
      <c r="W208">
        <v>96.54</v>
      </c>
      <c r="X208" s="3" t="s">
        <v>448</v>
      </c>
      <c r="Y208" s="3" t="s">
        <v>452</v>
      </c>
      <c r="Z208" s="3" t="s">
        <v>452</v>
      </c>
    </row>
  </sheetData>
  <sortState ref="A3:Z222">
    <sortCondition ref="Q3"/>
  </sortState>
  <mergeCells count="1">
    <mergeCell ref="A1:S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selection sqref="A1:B2"/>
    </sheetView>
  </sheetViews>
  <sheetFormatPr defaultRowHeight="15" x14ac:dyDescent="0.25"/>
  <cols>
    <col min="1" max="1" width="25.85546875" customWidth="1"/>
    <col min="2" max="2" width="83.140625" customWidth="1"/>
  </cols>
  <sheetData>
    <row r="1" spans="1:2" x14ac:dyDescent="0.25">
      <c r="A1" s="12" t="s">
        <v>541</v>
      </c>
      <c r="B1" s="13"/>
    </row>
    <row r="2" spans="1:2" x14ac:dyDescent="0.25">
      <c r="A2" s="13"/>
      <c r="B2" s="13"/>
    </row>
    <row r="3" spans="1:2" x14ac:dyDescent="0.25">
      <c r="A3" s="5" t="s">
        <v>463</v>
      </c>
      <c r="B3" s="5" t="s">
        <v>464</v>
      </c>
    </row>
    <row r="4" spans="1:2" x14ac:dyDescent="0.25">
      <c r="A4" s="6" t="s">
        <v>0</v>
      </c>
      <c r="B4" t="s">
        <v>465</v>
      </c>
    </row>
    <row r="5" spans="1:2" x14ac:dyDescent="0.25">
      <c r="A5" s="6" t="s">
        <v>1</v>
      </c>
      <c r="B5" t="s">
        <v>466</v>
      </c>
    </row>
    <row r="6" spans="1:2" x14ac:dyDescent="0.25">
      <c r="A6" s="6" t="s">
        <v>447</v>
      </c>
      <c r="B6" t="s">
        <v>467</v>
      </c>
    </row>
    <row r="7" spans="1:2" x14ac:dyDescent="0.25">
      <c r="A7" s="6" t="s">
        <v>2</v>
      </c>
      <c r="B7" t="s">
        <v>468</v>
      </c>
    </row>
    <row r="8" spans="1:2" x14ac:dyDescent="0.25">
      <c r="A8" s="6" t="s">
        <v>3</v>
      </c>
      <c r="B8" t="s">
        <v>469</v>
      </c>
    </row>
    <row r="9" spans="1:2" x14ac:dyDescent="0.25">
      <c r="A9" s="6" t="s">
        <v>4</v>
      </c>
      <c r="B9" t="s">
        <v>470</v>
      </c>
    </row>
    <row r="10" spans="1:2" x14ac:dyDescent="0.25">
      <c r="A10" s="6" t="s">
        <v>5</v>
      </c>
      <c r="B10" t="s">
        <v>471</v>
      </c>
    </row>
    <row r="11" spans="1:2" x14ac:dyDescent="0.25">
      <c r="A11" s="6" t="s">
        <v>6</v>
      </c>
      <c r="B11" t="s">
        <v>472</v>
      </c>
    </row>
    <row r="12" spans="1:2" x14ac:dyDescent="0.25">
      <c r="A12" s="6" t="s">
        <v>7</v>
      </c>
      <c r="B12" t="s">
        <v>473</v>
      </c>
    </row>
    <row r="13" spans="1:2" x14ac:dyDescent="0.25">
      <c r="A13" s="6" t="s">
        <v>8</v>
      </c>
      <c r="B13" t="s">
        <v>475</v>
      </c>
    </row>
    <row r="14" spans="1:2" x14ac:dyDescent="0.25">
      <c r="A14" s="6" t="s">
        <v>9</v>
      </c>
      <c r="B14" t="s">
        <v>474</v>
      </c>
    </row>
    <row r="15" spans="1:2" x14ac:dyDescent="0.25">
      <c r="A15" s="6" t="s">
        <v>10</v>
      </c>
      <c r="B15" t="s">
        <v>471</v>
      </c>
    </row>
    <row r="16" spans="1:2" x14ac:dyDescent="0.25">
      <c r="A16" s="6" t="s">
        <v>11</v>
      </c>
      <c r="B16" t="s">
        <v>472</v>
      </c>
    </row>
    <row r="17" spans="1:2" x14ac:dyDescent="0.25">
      <c r="A17" s="6" t="s">
        <v>12</v>
      </c>
      <c r="B17" t="s">
        <v>473</v>
      </c>
    </row>
    <row r="18" spans="1:2" x14ac:dyDescent="0.25">
      <c r="A18" s="6" t="s">
        <v>13</v>
      </c>
      <c r="B18" t="s">
        <v>476</v>
      </c>
    </row>
    <row r="19" spans="1:2" x14ac:dyDescent="0.25">
      <c r="A19" s="6" t="s">
        <v>443</v>
      </c>
      <c r="B19" t="s">
        <v>477</v>
      </c>
    </row>
    <row r="20" spans="1:2" x14ac:dyDescent="0.25">
      <c r="A20" s="6" t="s">
        <v>444</v>
      </c>
      <c r="B20" t="s">
        <v>478</v>
      </c>
    </row>
    <row r="21" spans="1:2" x14ac:dyDescent="0.25">
      <c r="A21" s="6" t="s">
        <v>14</v>
      </c>
      <c r="B21" t="s">
        <v>471</v>
      </c>
    </row>
    <row r="22" spans="1:2" x14ac:dyDescent="0.25">
      <c r="A22" s="6" t="s">
        <v>15</v>
      </c>
      <c r="B22" t="s">
        <v>472</v>
      </c>
    </row>
    <row r="23" spans="1:2" x14ac:dyDescent="0.25">
      <c r="A23" s="6" t="s">
        <v>16</v>
      </c>
      <c r="B23" t="s">
        <v>473</v>
      </c>
    </row>
    <row r="24" spans="1:2" x14ac:dyDescent="0.25">
      <c r="A24" s="9" t="s">
        <v>536</v>
      </c>
      <c r="B24" t="s">
        <v>539</v>
      </c>
    </row>
    <row r="25" spans="1:2" x14ac:dyDescent="0.25">
      <c r="A25" s="9" t="s">
        <v>537</v>
      </c>
      <c r="B25" t="s">
        <v>471</v>
      </c>
    </row>
    <row r="26" spans="1:2" x14ac:dyDescent="0.25">
      <c r="A26" s="9" t="s">
        <v>538</v>
      </c>
      <c r="B26" t="s">
        <v>473</v>
      </c>
    </row>
    <row r="27" spans="1:2" x14ac:dyDescent="0.25">
      <c r="A27" s="6" t="s">
        <v>449</v>
      </c>
      <c r="B27" t="s">
        <v>479</v>
      </c>
    </row>
    <row r="28" spans="1:2" x14ac:dyDescent="0.25">
      <c r="A28" s="6" t="s">
        <v>450</v>
      </c>
      <c r="B28" t="s">
        <v>480</v>
      </c>
    </row>
    <row r="29" spans="1:2" x14ac:dyDescent="0.25">
      <c r="A29" s="6" t="s">
        <v>451</v>
      </c>
      <c r="B29" t="s">
        <v>481</v>
      </c>
    </row>
  </sheetData>
  <mergeCells count="1">
    <mergeCell ref="A1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classification</vt:lpstr>
      <vt:lpstr>Variable description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2018-08-06T03:14:51Z</dcterms:modified>
</cp:coreProperties>
</file>